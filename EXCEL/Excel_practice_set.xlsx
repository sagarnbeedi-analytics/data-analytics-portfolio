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ata-analytics-porfolio\data-analytics-portfolio\EXCEL\"/>
    </mc:Choice>
  </mc:AlternateContent>
  <xr:revisionPtr revIDLastSave="0" documentId="13_ncr:1_{23BC75E1-2690-4E41-B491-1ACDC44BF65A}" xr6:coauthVersionLast="36" xr6:coauthVersionMax="36" xr10:uidLastSave="{00000000-0000-0000-0000-000000000000}"/>
  <bookViews>
    <workbookView xWindow="0" yWindow="0" windowWidth="22264" windowHeight="12642" activeTab="2" xr2:uid="{00000000-000D-0000-FFFF-FFFF00000000}"/>
  </bookViews>
  <sheets>
    <sheet name="sales_ids" sheetId="1" r:id="rId1"/>
    <sheet name="Products" sheetId="2" r:id="rId2"/>
    <sheet name="Nam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3" l="1"/>
  <c r="G25" i="3"/>
  <c r="G28" i="3"/>
  <c r="G29" i="3"/>
  <c r="G36" i="3"/>
  <c r="G37" i="3"/>
  <c r="F2" i="3"/>
  <c r="G2" i="3" s="1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F25" i="3"/>
  <c r="F26" i="3"/>
  <c r="G26" i="3" s="1"/>
  <c r="F27" i="3"/>
  <c r="G27" i="3" s="1"/>
  <c r="F28" i="3"/>
  <c r="F29" i="3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F37" i="3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</calcChain>
</file>

<file path=xl/sharedStrings.xml><?xml version="1.0" encoding="utf-8"?>
<sst xmlns="http://schemas.openxmlformats.org/spreadsheetml/2006/main" count="263" uniqueCount="245">
  <si>
    <t>sales_id</t>
  </si>
  <si>
    <t>SAL-001</t>
  </si>
  <si>
    <t>SAL-002</t>
  </si>
  <si>
    <t>SAL-003</t>
  </si>
  <si>
    <t>SAL-004</t>
  </si>
  <si>
    <t>SAL-005</t>
  </si>
  <si>
    <t>SAL-006</t>
  </si>
  <si>
    <t>SAL-007</t>
  </si>
  <si>
    <t>SAL-008</t>
  </si>
  <si>
    <t>SAL-009</t>
  </si>
  <si>
    <t>SAL-010</t>
  </si>
  <si>
    <t>SAL-011</t>
  </si>
  <si>
    <t>SAL-012</t>
  </si>
  <si>
    <t>SAL-013</t>
  </si>
  <si>
    <t>SAL-014</t>
  </si>
  <si>
    <t>SAL-015</t>
  </si>
  <si>
    <t>SAL-016</t>
  </si>
  <si>
    <t>SAL-017</t>
  </si>
  <si>
    <t>SAL-018</t>
  </si>
  <si>
    <t>SAL-019</t>
  </si>
  <si>
    <t>SAL-020</t>
  </si>
  <si>
    <t>SAL-021</t>
  </si>
  <si>
    <t>SAL-022</t>
  </si>
  <si>
    <t>SAL-023</t>
  </si>
  <si>
    <t>SAL-024</t>
  </si>
  <si>
    <t>SAL-025</t>
  </si>
  <si>
    <t>SAL-026</t>
  </si>
  <si>
    <t>SAL-027</t>
  </si>
  <si>
    <t>SAL-028</t>
  </si>
  <si>
    <t>SAL-029</t>
  </si>
  <si>
    <t>SAL-030</t>
  </si>
  <si>
    <t>SAL-031</t>
  </si>
  <si>
    <t>SAL-032</t>
  </si>
  <si>
    <t>SAL-033</t>
  </si>
  <si>
    <t>SAL-034</t>
  </si>
  <si>
    <t>SAL-035</t>
  </si>
  <si>
    <t>SAL-036</t>
  </si>
  <si>
    <t>SAL-037</t>
  </si>
  <si>
    <t>SAL-038</t>
  </si>
  <si>
    <t>SAL-039</t>
  </si>
  <si>
    <t>SAL-040</t>
  </si>
  <si>
    <t>SAL-041</t>
  </si>
  <si>
    <t>SAL-042</t>
  </si>
  <si>
    <t>SAL-043</t>
  </si>
  <si>
    <t>SAL-044</t>
  </si>
  <si>
    <t>SAL-045</t>
  </si>
  <si>
    <t>SAL-046</t>
  </si>
  <si>
    <t>SAL-047</t>
  </si>
  <si>
    <t>SAL-048</t>
  </si>
  <si>
    <t>SAL-049</t>
  </si>
  <si>
    <t>SAL-050</t>
  </si>
  <si>
    <t>extracted_id</t>
  </si>
  <si>
    <t>Product ID</t>
  </si>
  <si>
    <t>Product Name</t>
  </si>
  <si>
    <t>P001</t>
  </si>
  <si>
    <t>Laptop Pro 15</t>
  </si>
  <si>
    <t>P002</t>
  </si>
  <si>
    <t>Laptop Air 13</t>
  </si>
  <si>
    <t>P003</t>
  </si>
  <si>
    <t>Gaming Laptop X</t>
  </si>
  <si>
    <t>P004</t>
  </si>
  <si>
    <t>P005</t>
  </si>
  <si>
    <t>Desktop PC Mini</t>
  </si>
  <si>
    <t>P006</t>
  </si>
  <si>
    <t>Desktop PC Tower</t>
  </si>
  <si>
    <t>P007</t>
  </si>
  <si>
    <t>Wireless Mouse</t>
  </si>
  <si>
    <t>P008</t>
  </si>
  <si>
    <t>P009</t>
  </si>
  <si>
    <t>Wireless Keyboard</t>
  </si>
  <si>
    <t>P010</t>
  </si>
  <si>
    <t>Bluetooth Headphones</t>
  </si>
  <si>
    <t>P011</t>
  </si>
  <si>
    <t>P012</t>
  </si>
  <si>
    <t>Gaming Headset</t>
  </si>
  <si>
    <t>P013</t>
  </si>
  <si>
    <t>USB-C Charger 65W</t>
  </si>
  <si>
    <t>P014</t>
  </si>
  <si>
    <t>USB-C Charger 30W</t>
  </si>
  <si>
    <t>P015</t>
  </si>
  <si>
    <t>P016</t>
  </si>
  <si>
    <t>Smartwatch S1</t>
  </si>
  <si>
    <t>P017</t>
  </si>
  <si>
    <t>Smartwatch Fit Pro</t>
  </si>
  <si>
    <t>P018</t>
  </si>
  <si>
    <t>P019</t>
  </si>
  <si>
    <t>Fitness Band Lite</t>
  </si>
  <si>
    <t>P020</t>
  </si>
  <si>
    <t>Tablet A10</t>
  </si>
  <si>
    <t>P021</t>
  </si>
  <si>
    <t>Tablet A10 Pro</t>
  </si>
  <si>
    <t>P022</t>
  </si>
  <si>
    <t>P023</t>
  </si>
  <si>
    <t>Smartphone M20</t>
  </si>
  <si>
    <t>P024</t>
  </si>
  <si>
    <t>Smartphone M20 Plus</t>
  </si>
  <si>
    <t>P025</t>
  </si>
  <si>
    <t>P026</t>
  </si>
  <si>
    <t>Smartphone Max Ultra</t>
  </si>
  <si>
    <t>P027</t>
  </si>
  <si>
    <t>Bluetooth Speaker Mini</t>
  </si>
  <si>
    <t>P028</t>
  </si>
  <si>
    <t>Bluetooth Speaker Boom</t>
  </si>
  <si>
    <t>P029</t>
  </si>
  <si>
    <t>P030</t>
  </si>
  <si>
    <t>27-inch IPS Monitor</t>
  </si>
  <si>
    <t>P031</t>
  </si>
  <si>
    <t>32-inch LED Monitor</t>
  </si>
  <si>
    <t>P032</t>
  </si>
  <si>
    <t>24-inch Gaming Monitor</t>
  </si>
  <si>
    <t>P033</t>
  </si>
  <si>
    <t>External Hard Drive 1TB</t>
  </si>
  <si>
    <t>P034</t>
  </si>
  <si>
    <t>External Hard Drive 2TB</t>
  </si>
  <si>
    <t>P035</t>
  </si>
  <si>
    <t>P036</t>
  </si>
  <si>
    <t>SSD Drive 512GB</t>
  </si>
  <si>
    <t>P037</t>
  </si>
  <si>
    <t>SSD Drive 1TB</t>
  </si>
  <si>
    <t>P038</t>
  </si>
  <si>
    <t>P039</t>
  </si>
  <si>
    <t>USB Flash Drive 64GB</t>
  </si>
  <si>
    <t>P040</t>
  </si>
  <si>
    <t>USB Flash Drive 128GB</t>
  </si>
  <si>
    <t>P041</t>
  </si>
  <si>
    <t>P042</t>
  </si>
  <si>
    <t>Wireless Router AC1200</t>
  </si>
  <si>
    <t>P043</t>
  </si>
  <si>
    <t>Wireless Router AX1800</t>
  </si>
  <si>
    <t>P044</t>
  </si>
  <si>
    <t>P045</t>
  </si>
  <si>
    <t>Noise Cancelling Earbuds</t>
  </si>
  <si>
    <t>P046</t>
  </si>
  <si>
    <t>Portable Power Bank 10,000mAh</t>
  </si>
  <si>
    <t>P047</t>
  </si>
  <si>
    <t>Portable Power Bank 20,000mAh</t>
  </si>
  <si>
    <t>P048</t>
  </si>
  <si>
    <t>P049</t>
  </si>
  <si>
    <t>Wireless Charging Pad</t>
  </si>
  <si>
    <t>P050</t>
  </si>
  <si>
    <t>Smart Lamp RGB</t>
  </si>
  <si>
    <t>first5chars</t>
  </si>
  <si>
    <t>Arjun Mehta</t>
  </si>
  <si>
    <t>Rohan Gupta</t>
  </si>
  <si>
    <t>Sagar Deshmukh</t>
  </si>
  <si>
    <t>Neha Kulkarni</t>
  </si>
  <si>
    <t>Pooja Sharma</t>
  </si>
  <si>
    <t>Kiran Rajput</t>
  </si>
  <si>
    <t>Swati Nair</t>
  </si>
  <si>
    <t>Varun Chatterjee</t>
  </si>
  <si>
    <t>Meera Ramaswamy</t>
  </si>
  <si>
    <t>Sanjay Bhatt</t>
  </si>
  <si>
    <t>Priya Iyer</t>
  </si>
  <si>
    <t>Dev Malhotra</t>
  </si>
  <si>
    <t>Shruti Verma</t>
  </si>
  <si>
    <t>Tanmay Saxena</t>
  </si>
  <si>
    <t>Aditi Menon</t>
  </si>
  <si>
    <t>Naveen Patil</t>
  </si>
  <si>
    <t>Kavya Shetty</t>
  </si>
  <si>
    <t>Siddharth Reddy</t>
  </si>
  <si>
    <t>Rhea Joseph</t>
  </si>
  <si>
    <t>Pranav Bhatia</t>
  </si>
  <si>
    <t>Ananya Paul</t>
  </si>
  <si>
    <t>Keshav Sethi</t>
  </si>
  <si>
    <t>Manasi Kulkarni</t>
  </si>
  <si>
    <t>Harshit Pandey</t>
  </si>
  <si>
    <t>Kriti Jaiswal</t>
  </si>
  <si>
    <t>Ishaan Sharma</t>
  </si>
  <si>
    <t>Taniya Abraham</t>
  </si>
  <si>
    <t>Nikhil Bose</t>
  </si>
  <si>
    <t>Sana Merchant</t>
  </si>
  <si>
    <t>Aditya Rao</t>
  </si>
  <si>
    <t>Shreya D’Souza</t>
  </si>
  <si>
    <t>Tejas Khanna</t>
  </si>
  <si>
    <t>Ritu Chauhan</t>
  </si>
  <si>
    <t>Yashveer Kanojia</t>
  </si>
  <si>
    <t>Neelam Joshi</t>
  </si>
  <si>
    <t>Milan Solanki</t>
  </si>
  <si>
    <t>Pritam Gaikwad</t>
  </si>
  <si>
    <t>Roshni Fernandes</t>
  </si>
  <si>
    <t>Dhruv Bansal</t>
  </si>
  <si>
    <t>Naina Chib</t>
  </si>
  <si>
    <t>Zoya Khan</t>
  </si>
  <si>
    <t>Kabir Qureshi</t>
  </si>
  <si>
    <t>Aradhya Pillai</t>
  </si>
  <si>
    <t>Jayant Khatri</t>
  </si>
  <si>
    <t>Simran Oberoi</t>
  </si>
  <si>
    <t>Rakesh Dutta</t>
  </si>
  <si>
    <t>Leena Madan</t>
  </si>
  <si>
    <t>Pushkar Vaidya</t>
  </si>
  <si>
    <t>Natasha Gokhale</t>
  </si>
  <si>
    <t>Amit Trivedi</t>
  </si>
  <si>
    <t>Full Names</t>
  </si>
  <si>
    <t>Person_id</t>
  </si>
  <si>
    <t>last_name</t>
  </si>
  <si>
    <t>Date of Birth</t>
  </si>
  <si>
    <t>first_name</t>
  </si>
  <si>
    <t>year_of_birth</t>
  </si>
  <si>
    <t>age</t>
  </si>
  <si>
    <t>Email ID</t>
  </si>
  <si>
    <t>arjun.mehta@company.com</t>
  </si>
  <si>
    <t>rohan.gupta@company.com</t>
  </si>
  <si>
    <t>sagar.deshmukh@company.com</t>
  </si>
  <si>
    <t>neha.kulkarni@company.com</t>
  </si>
  <si>
    <t>pooja.sharma@company.com</t>
  </si>
  <si>
    <t>kiran.rajput@company.com</t>
  </si>
  <si>
    <t>(blank)</t>
  </si>
  <si>
    <t>varun.chatterjee@company.com</t>
  </si>
  <si>
    <t>meera.ramaswamy@company.com</t>
  </si>
  <si>
    <t>sanjay.bhatt@company.com</t>
  </si>
  <si>
    <t>dev.malhotra@company.com</t>
  </si>
  <si>
    <t>shruti.verma@company.com</t>
  </si>
  <si>
    <t>tanmay.saxena@company.com</t>
  </si>
  <si>
    <t>aditi.menon@company.com</t>
  </si>
  <si>
    <t>naveen.patil@company.com</t>
  </si>
  <si>
    <t>kavya.shetty@company.com</t>
  </si>
  <si>
    <t>siddharth.reddy@company.com</t>
  </si>
  <si>
    <t>rhea.joseph@company.com</t>
  </si>
  <si>
    <t>pranav.bhatia@company.com</t>
  </si>
  <si>
    <t>ananya.paul@company.com</t>
  </si>
  <si>
    <t>keshav.sethi@company.com</t>
  </si>
  <si>
    <t>manasi.kulkarni@company.com</t>
  </si>
  <si>
    <t>harshit.pandey@company.com</t>
  </si>
  <si>
    <t>kriti.jaiswal@company.com</t>
  </si>
  <si>
    <t>ishaan.sharma@company.com</t>
  </si>
  <si>
    <t>nikhil.bose@company.com</t>
  </si>
  <si>
    <t>sana.merchant@company.com</t>
  </si>
  <si>
    <t>aditya.rao@company.com</t>
  </si>
  <si>
    <t>shreya.dsouza@company.com</t>
  </si>
  <si>
    <t>tejas.khanna@company.com</t>
  </si>
  <si>
    <t>ritu.chauhan@company.com</t>
  </si>
  <si>
    <t>yashveer.kanojia@company.com</t>
  </si>
  <si>
    <t>milan.solanki@company.com</t>
  </si>
  <si>
    <t>pritam.gaikwad@company.com</t>
  </si>
  <si>
    <t>roshni.fernandes@company.com</t>
  </si>
  <si>
    <t>dhruv.bansal@company.com</t>
  </si>
  <si>
    <t>naina.chib@company.com</t>
  </si>
  <si>
    <t>zoya.khan@company.com</t>
  </si>
  <si>
    <t>kabir.qureshi@company.com</t>
  </si>
  <si>
    <t>aradhya.pillai@company.com</t>
  </si>
  <si>
    <t>jayant.khatri@company.com</t>
  </si>
  <si>
    <t>rakesh.dutta@company.com</t>
  </si>
  <si>
    <t>leena.madan@company.com</t>
  </si>
  <si>
    <t>pushkar.vaidya@company.com</t>
  </si>
  <si>
    <t>amit.trivedi@company.com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</si>
</sst>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3" fillId="0" borderId="0" xfId="1" applyNumberFormat="1" applyAlignment="1">
      <alignment horizontal="center"/>
    </xf>
    <xf numFmtId="0" fontId="2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19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CE8C4A-8452-4E24-9839-8D52D9C92F91}" name="Table1" displayName="Table1" ref="A1:B51" totalsRowShown="0" headerRowDxfId="6" dataDxfId="5">
  <autoFilter ref="A1:B51" xr:uid="{455E2589-4566-4230-91D1-91F1657D1D74}"/>
  <tableColumns count="2">
    <tableColumn id="1" xr3:uid="{B2949043-A328-43FB-BC76-D5A4945F4744}" name="sales_id" dataDxfId="8"/>
    <tableColumn id="2" xr3:uid="{FA8FA371-8A5F-4043-8954-766DB70ED269}" name="extracted_id" dataDxfId="7">
      <calculatedColumnFormula>RIGHT(Table1[[#This Row],[sales_id]],3)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E1ACA6-9925-448A-BB27-91C24DC4CEBB}" name="Table2" displayName="Table2" ref="A1:C51" totalsRowShown="0" headerRowDxfId="10" dataDxfId="9">
  <autoFilter ref="A1:C51" xr:uid="{84C9D365-AAC2-4308-83D0-508C2A0A4705}"/>
  <tableColumns count="3">
    <tableColumn id="1" xr3:uid="{B574212B-85CE-4F4D-AF8F-DDB8FF17FCA0}" name="Product ID" dataDxfId="13"/>
    <tableColumn id="2" xr3:uid="{7C8BEEB6-4FFA-4887-9BE6-2802C0EA0C4F}" name="Product Name" dataDxfId="12"/>
    <tableColumn id="3" xr3:uid="{2577F5A3-B6E4-45D8-B967-E8030F1D0629}" name="first5chars" dataDxfId="11">
      <calculatedColumnFormula>LEFT(Table2[[#This Row],[Product Name]],5)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2537D6-750A-483D-9F23-882EAF6372DB}" name="Table3" displayName="Table3" ref="A1:H51" totalsRowShown="0" headerRowDxfId="15" dataDxfId="14">
  <autoFilter ref="A1:H51" xr:uid="{E8BEBB26-4651-46A1-8472-849EE8207A9E}"/>
  <tableColumns count="8">
    <tableColumn id="1" xr3:uid="{E9C4CC2E-D35C-4143-827A-F83AC8100FED}" name="Person_id" dataDxfId="18"/>
    <tableColumn id="2" xr3:uid="{27A3808E-A635-4AFF-8081-209E576A8F8E}" name="Full Names" dataDxfId="17"/>
    <tableColumn id="7" xr3:uid="{D3A4E46E-BDE9-47F7-B15F-845B728DA567}" name="first_name" dataDxfId="3">
      <calculatedColumnFormula>LEFT(Table3[[#This Row],[Full Names]],FIND(" ",Table3[[#This Row],[Full Names]]))</calculatedColumnFormula>
    </tableColumn>
    <tableColumn id="3" xr3:uid="{C1209AF1-A13B-4B79-BAB4-A2BD7CE39D8D}" name="last_name" dataDxfId="16">
      <calculatedColumnFormula>RIGHT(Table3[[#This Row],[Full Names]],LEN(Table3[[#This Row],[Full Names]])-FIND(" ",Table3[[#This Row],[Full Names]]))</calculatedColumnFormula>
    </tableColumn>
    <tableColumn id="6" xr3:uid="{1A04902F-102E-42FC-A913-BE87BCF550E6}" name="Date of Birth" dataDxfId="4"/>
    <tableColumn id="8" xr3:uid="{FCA51A72-5A2C-4ED0-AAA4-802F178F20ED}" name="year_of_birth" dataDxfId="2">
      <calculatedColumnFormula>YEAR(Table3[[#This Row],[Date of Birth]])</calculatedColumnFormula>
    </tableColumn>
    <tableColumn id="9" xr3:uid="{4EA8C01D-FF8B-4F35-B770-C374D37B4B01}" name="age" dataDxfId="1">
      <calculatedColumnFormula>2025-Table3[[#This Row],[year_of_birth]]</calculatedColumnFormula>
    </tableColumn>
    <tableColumn id="11" xr3:uid="{F82DFDBE-9CD2-46D3-9E7D-ECAABEE57443}" name="Email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diti.menon@company.com" TargetMode="External"/><Relationship Id="rId18" Type="http://schemas.openxmlformats.org/officeDocument/2006/relationships/hyperlink" Target="mailto:pranav.bhatia@company.com" TargetMode="External"/><Relationship Id="rId26" Type="http://schemas.openxmlformats.org/officeDocument/2006/relationships/hyperlink" Target="mailto:sana.merchant@company.com" TargetMode="External"/><Relationship Id="rId39" Type="http://schemas.openxmlformats.org/officeDocument/2006/relationships/hyperlink" Target="mailto:aradhya.pillai@company.com" TargetMode="External"/><Relationship Id="rId21" Type="http://schemas.openxmlformats.org/officeDocument/2006/relationships/hyperlink" Target="mailto:manasi.kulkarni@company.com" TargetMode="External"/><Relationship Id="rId34" Type="http://schemas.openxmlformats.org/officeDocument/2006/relationships/hyperlink" Target="mailto:roshni.fernandes@company.com" TargetMode="External"/><Relationship Id="rId42" Type="http://schemas.openxmlformats.org/officeDocument/2006/relationships/hyperlink" Target="mailto:leena.madan@company.com" TargetMode="External"/><Relationship Id="rId7" Type="http://schemas.openxmlformats.org/officeDocument/2006/relationships/hyperlink" Target="mailto:varun.chatterjee@company.com" TargetMode="External"/><Relationship Id="rId2" Type="http://schemas.openxmlformats.org/officeDocument/2006/relationships/hyperlink" Target="mailto:rohan.gupta@company.com" TargetMode="External"/><Relationship Id="rId16" Type="http://schemas.openxmlformats.org/officeDocument/2006/relationships/hyperlink" Target="mailto:siddharth.reddy@company.com" TargetMode="External"/><Relationship Id="rId29" Type="http://schemas.openxmlformats.org/officeDocument/2006/relationships/hyperlink" Target="mailto:tejas.khanna@company.com" TargetMode="External"/><Relationship Id="rId1" Type="http://schemas.openxmlformats.org/officeDocument/2006/relationships/hyperlink" Target="mailto:arjun.mehta@company.com" TargetMode="External"/><Relationship Id="rId6" Type="http://schemas.openxmlformats.org/officeDocument/2006/relationships/hyperlink" Target="mailto:kiran.rajput@company.com" TargetMode="External"/><Relationship Id="rId11" Type="http://schemas.openxmlformats.org/officeDocument/2006/relationships/hyperlink" Target="mailto:shruti.verma@company.com" TargetMode="External"/><Relationship Id="rId24" Type="http://schemas.openxmlformats.org/officeDocument/2006/relationships/hyperlink" Target="mailto:ishaan.sharma@company.com" TargetMode="External"/><Relationship Id="rId32" Type="http://schemas.openxmlformats.org/officeDocument/2006/relationships/hyperlink" Target="mailto:milan.solanki@company.com" TargetMode="External"/><Relationship Id="rId37" Type="http://schemas.openxmlformats.org/officeDocument/2006/relationships/hyperlink" Target="mailto:zoya.khan@company.com" TargetMode="External"/><Relationship Id="rId40" Type="http://schemas.openxmlformats.org/officeDocument/2006/relationships/hyperlink" Target="mailto:jayant.khatri@company.com" TargetMode="External"/><Relationship Id="rId45" Type="http://schemas.openxmlformats.org/officeDocument/2006/relationships/table" Target="../tables/table3.xml"/><Relationship Id="rId5" Type="http://schemas.openxmlformats.org/officeDocument/2006/relationships/hyperlink" Target="mailto:pooja.sharma@company.com" TargetMode="External"/><Relationship Id="rId15" Type="http://schemas.openxmlformats.org/officeDocument/2006/relationships/hyperlink" Target="mailto:kavya.shetty@company.com" TargetMode="External"/><Relationship Id="rId23" Type="http://schemas.openxmlformats.org/officeDocument/2006/relationships/hyperlink" Target="mailto:kriti.jaiswal@company.com" TargetMode="External"/><Relationship Id="rId28" Type="http://schemas.openxmlformats.org/officeDocument/2006/relationships/hyperlink" Target="mailto:shreya.dsouza@company.com" TargetMode="External"/><Relationship Id="rId36" Type="http://schemas.openxmlformats.org/officeDocument/2006/relationships/hyperlink" Target="mailto:naina.chib@company.com" TargetMode="External"/><Relationship Id="rId10" Type="http://schemas.openxmlformats.org/officeDocument/2006/relationships/hyperlink" Target="mailto:dev.malhotra@company.com" TargetMode="External"/><Relationship Id="rId19" Type="http://schemas.openxmlformats.org/officeDocument/2006/relationships/hyperlink" Target="mailto:ananya.paul@company.com" TargetMode="External"/><Relationship Id="rId31" Type="http://schemas.openxmlformats.org/officeDocument/2006/relationships/hyperlink" Target="mailto:yashveer.kanojia@company.com" TargetMode="External"/><Relationship Id="rId44" Type="http://schemas.openxmlformats.org/officeDocument/2006/relationships/hyperlink" Target="mailto:amit.trivedi@company.com" TargetMode="External"/><Relationship Id="rId4" Type="http://schemas.openxmlformats.org/officeDocument/2006/relationships/hyperlink" Target="mailto:neha.kulkarni@company.com" TargetMode="External"/><Relationship Id="rId9" Type="http://schemas.openxmlformats.org/officeDocument/2006/relationships/hyperlink" Target="mailto:sanjay.bhatt@company.com" TargetMode="External"/><Relationship Id="rId14" Type="http://schemas.openxmlformats.org/officeDocument/2006/relationships/hyperlink" Target="mailto:naveen.patil@company.com" TargetMode="External"/><Relationship Id="rId22" Type="http://schemas.openxmlformats.org/officeDocument/2006/relationships/hyperlink" Target="mailto:harshit.pandey@company.com" TargetMode="External"/><Relationship Id="rId27" Type="http://schemas.openxmlformats.org/officeDocument/2006/relationships/hyperlink" Target="mailto:aditya.rao@company.com" TargetMode="External"/><Relationship Id="rId30" Type="http://schemas.openxmlformats.org/officeDocument/2006/relationships/hyperlink" Target="mailto:ritu.chauhan@company.com" TargetMode="External"/><Relationship Id="rId35" Type="http://schemas.openxmlformats.org/officeDocument/2006/relationships/hyperlink" Target="mailto:dhruv.bansal@company.com" TargetMode="External"/><Relationship Id="rId43" Type="http://schemas.openxmlformats.org/officeDocument/2006/relationships/hyperlink" Target="mailto:pushkar.vaidya@company.com" TargetMode="External"/><Relationship Id="rId8" Type="http://schemas.openxmlformats.org/officeDocument/2006/relationships/hyperlink" Target="mailto:meera.ramaswamy@company.com" TargetMode="External"/><Relationship Id="rId3" Type="http://schemas.openxmlformats.org/officeDocument/2006/relationships/hyperlink" Target="mailto:sagar.deshmukh@company.com" TargetMode="External"/><Relationship Id="rId12" Type="http://schemas.openxmlformats.org/officeDocument/2006/relationships/hyperlink" Target="mailto:tanmay.saxena@company.com" TargetMode="External"/><Relationship Id="rId17" Type="http://schemas.openxmlformats.org/officeDocument/2006/relationships/hyperlink" Target="mailto:rhea.joseph@company.com" TargetMode="External"/><Relationship Id="rId25" Type="http://schemas.openxmlformats.org/officeDocument/2006/relationships/hyperlink" Target="mailto:nikhil.bose@company.com" TargetMode="External"/><Relationship Id="rId33" Type="http://schemas.openxmlformats.org/officeDocument/2006/relationships/hyperlink" Target="mailto:pritam.gaikwad@company.com" TargetMode="External"/><Relationship Id="rId38" Type="http://schemas.openxmlformats.org/officeDocument/2006/relationships/hyperlink" Target="mailto:kabir.qureshi@company.com" TargetMode="External"/><Relationship Id="rId20" Type="http://schemas.openxmlformats.org/officeDocument/2006/relationships/hyperlink" Target="mailto:keshav.sethi@company.com" TargetMode="External"/><Relationship Id="rId41" Type="http://schemas.openxmlformats.org/officeDocument/2006/relationships/hyperlink" Target="mailto:rakesh.dutt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zoomScale="205" zoomScaleNormal="205" workbookViewId="0">
      <selection activeCell="C4" sqref="C4"/>
    </sheetView>
  </sheetViews>
  <sheetFormatPr defaultRowHeight="14.5" x14ac:dyDescent="0.35"/>
  <cols>
    <col min="2" max="2" width="13.4140625" bestFit="1" customWidth="1"/>
  </cols>
  <sheetData>
    <row r="1" spans="1:2" x14ac:dyDescent="0.35">
      <c r="A1" s="3" t="s">
        <v>0</v>
      </c>
      <c r="B1" s="3" t="s">
        <v>51</v>
      </c>
    </row>
    <row r="2" spans="1:2" x14ac:dyDescent="0.35">
      <c r="A2" s="3" t="s">
        <v>1</v>
      </c>
      <c r="B2" s="3" t="str">
        <f>RIGHT(Table1[[#This Row],[sales_id]],3)</f>
        <v>001</v>
      </c>
    </row>
    <row r="3" spans="1:2" x14ac:dyDescent="0.35">
      <c r="A3" s="3" t="s">
        <v>2</v>
      </c>
      <c r="B3" s="3" t="str">
        <f>RIGHT(Table1[[#This Row],[sales_id]],3)</f>
        <v>002</v>
      </c>
    </row>
    <row r="4" spans="1:2" x14ac:dyDescent="0.35">
      <c r="A4" s="3" t="s">
        <v>3</v>
      </c>
      <c r="B4" s="3" t="str">
        <f>RIGHT(Table1[[#This Row],[sales_id]],3)</f>
        <v>003</v>
      </c>
    </row>
    <row r="5" spans="1:2" x14ac:dyDescent="0.35">
      <c r="A5" s="3" t="s">
        <v>4</v>
      </c>
      <c r="B5" s="3" t="str">
        <f>RIGHT(Table1[[#This Row],[sales_id]],3)</f>
        <v>004</v>
      </c>
    </row>
    <row r="6" spans="1:2" x14ac:dyDescent="0.35">
      <c r="A6" s="3" t="s">
        <v>5</v>
      </c>
      <c r="B6" s="3" t="str">
        <f>RIGHT(Table1[[#This Row],[sales_id]],3)</f>
        <v>005</v>
      </c>
    </row>
    <row r="7" spans="1:2" x14ac:dyDescent="0.35">
      <c r="A7" s="3" t="s">
        <v>6</v>
      </c>
      <c r="B7" s="3" t="str">
        <f>RIGHT(Table1[[#This Row],[sales_id]],3)</f>
        <v>006</v>
      </c>
    </row>
    <row r="8" spans="1:2" x14ac:dyDescent="0.35">
      <c r="A8" s="3" t="s">
        <v>7</v>
      </c>
      <c r="B8" s="3" t="str">
        <f>RIGHT(Table1[[#This Row],[sales_id]],3)</f>
        <v>007</v>
      </c>
    </row>
    <row r="9" spans="1:2" x14ac:dyDescent="0.35">
      <c r="A9" s="3" t="s">
        <v>8</v>
      </c>
      <c r="B9" s="3" t="str">
        <f>RIGHT(Table1[[#This Row],[sales_id]],3)</f>
        <v>008</v>
      </c>
    </row>
    <row r="10" spans="1:2" x14ac:dyDescent="0.35">
      <c r="A10" s="3" t="s">
        <v>9</v>
      </c>
      <c r="B10" s="3" t="str">
        <f>RIGHT(Table1[[#This Row],[sales_id]],3)</f>
        <v>009</v>
      </c>
    </row>
    <row r="11" spans="1:2" x14ac:dyDescent="0.35">
      <c r="A11" s="3" t="s">
        <v>10</v>
      </c>
      <c r="B11" s="3" t="str">
        <f>RIGHT(Table1[[#This Row],[sales_id]],3)</f>
        <v>010</v>
      </c>
    </row>
    <row r="12" spans="1:2" x14ac:dyDescent="0.35">
      <c r="A12" s="3" t="s">
        <v>11</v>
      </c>
      <c r="B12" s="3" t="str">
        <f>RIGHT(Table1[[#This Row],[sales_id]],3)</f>
        <v>011</v>
      </c>
    </row>
    <row r="13" spans="1:2" x14ac:dyDescent="0.35">
      <c r="A13" s="3" t="s">
        <v>12</v>
      </c>
      <c r="B13" s="3" t="str">
        <f>RIGHT(Table1[[#This Row],[sales_id]],3)</f>
        <v>012</v>
      </c>
    </row>
    <row r="14" spans="1:2" x14ac:dyDescent="0.35">
      <c r="A14" s="3" t="s">
        <v>13</v>
      </c>
      <c r="B14" s="3" t="str">
        <f>RIGHT(Table1[[#This Row],[sales_id]],3)</f>
        <v>013</v>
      </c>
    </row>
    <row r="15" spans="1:2" x14ac:dyDescent="0.35">
      <c r="A15" s="3" t="s">
        <v>14</v>
      </c>
      <c r="B15" s="3" t="str">
        <f>RIGHT(Table1[[#This Row],[sales_id]],3)</f>
        <v>014</v>
      </c>
    </row>
    <row r="16" spans="1:2" x14ac:dyDescent="0.35">
      <c r="A16" s="3" t="s">
        <v>15</v>
      </c>
      <c r="B16" s="3" t="str">
        <f>RIGHT(Table1[[#This Row],[sales_id]],3)</f>
        <v>015</v>
      </c>
    </row>
    <row r="17" spans="1:2" x14ac:dyDescent="0.35">
      <c r="A17" s="3" t="s">
        <v>16</v>
      </c>
      <c r="B17" s="3" t="str">
        <f>RIGHT(Table1[[#This Row],[sales_id]],3)</f>
        <v>016</v>
      </c>
    </row>
    <row r="18" spans="1:2" x14ac:dyDescent="0.35">
      <c r="A18" s="3" t="s">
        <v>17</v>
      </c>
      <c r="B18" s="3" t="str">
        <f>RIGHT(Table1[[#This Row],[sales_id]],3)</f>
        <v>017</v>
      </c>
    </row>
    <row r="19" spans="1:2" x14ac:dyDescent="0.35">
      <c r="A19" s="3" t="s">
        <v>18</v>
      </c>
      <c r="B19" s="3" t="str">
        <f>RIGHT(Table1[[#This Row],[sales_id]],3)</f>
        <v>018</v>
      </c>
    </row>
    <row r="20" spans="1:2" x14ac:dyDescent="0.35">
      <c r="A20" s="3" t="s">
        <v>19</v>
      </c>
      <c r="B20" s="3" t="str">
        <f>RIGHT(Table1[[#This Row],[sales_id]],3)</f>
        <v>019</v>
      </c>
    </row>
    <row r="21" spans="1:2" x14ac:dyDescent="0.35">
      <c r="A21" s="3" t="s">
        <v>20</v>
      </c>
      <c r="B21" s="3" t="str">
        <f>RIGHT(Table1[[#This Row],[sales_id]],3)</f>
        <v>020</v>
      </c>
    </row>
    <row r="22" spans="1:2" x14ac:dyDescent="0.35">
      <c r="A22" s="3" t="s">
        <v>21</v>
      </c>
      <c r="B22" s="3" t="str">
        <f>RIGHT(Table1[[#This Row],[sales_id]],3)</f>
        <v>021</v>
      </c>
    </row>
    <row r="23" spans="1:2" x14ac:dyDescent="0.35">
      <c r="A23" s="3" t="s">
        <v>22</v>
      </c>
      <c r="B23" s="3" t="str">
        <f>RIGHT(Table1[[#This Row],[sales_id]],3)</f>
        <v>022</v>
      </c>
    </row>
    <row r="24" spans="1:2" x14ac:dyDescent="0.35">
      <c r="A24" s="3" t="s">
        <v>23</v>
      </c>
      <c r="B24" s="3" t="str">
        <f>RIGHT(Table1[[#This Row],[sales_id]],3)</f>
        <v>023</v>
      </c>
    </row>
    <row r="25" spans="1:2" x14ac:dyDescent="0.35">
      <c r="A25" s="3" t="s">
        <v>24</v>
      </c>
      <c r="B25" s="3" t="str">
        <f>RIGHT(Table1[[#This Row],[sales_id]],3)</f>
        <v>024</v>
      </c>
    </row>
    <row r="26" spans="1:2" x14ac:dyDescent="0.35">
      <c r="A26" s="3" t="s">
        <v>25</v>
      </c>
      <c r="B26" s="3" t="str">
        <f>RIGHT(Table1[[#This Row],[sales_id]],3)</f>
        <v>025</v>
      </c>
    </row>
    <row r="27" spans="1:2" x14ac:dyDescent="0.35">
      <c r="A27" s="3" t="s">
        <v>26</v>
      </c>
      <c r="B27" s="3" t="str">
        <f>RIGHT(Table1[[#This Row],[sales_id]],3)</f>
        <v>026</v>
      </c>
    </row>
    <row r="28" spans="1:2" x14ac:dyDescent="0.35">
      <c r="A28" s="3" t="s">
        <v>27</v>
      </c>
      <c r="B28" s="3" t="str">
        <f>RIGHT(Table1[[#This Row],[sales_id]],3)</f>
        <v>027</v>
      </c>
    </row>
    <row r="29" spans="1:2" x14ac:dyDescent="0.35">
      <c r="A29" s="3" t="s">
        <v>28</v>
      </c>
      <c r="B29" s="3" t="str">
        <f>RIGHT(Table1[[#This Row],[sales_id]],3)</f>
        <v>028</v>
      </c>
    </row>
    <row r="30" spans="1:2" x14ac:dyDescent="0.35">
      <c r="A30" s="3" t="s">
        <v>29</v>
      </c>
      <c r="B30" s="3" t="str">
        <f>RIGHT(Table1[[#This Row],[sales_id]],3)</f>
        <v>029</v>
      </c>
    </row>
    <row r="31" spans="1:2" x14ac:dyDescent="0.35">
      <c r="A31" s="3" t="s">
        <v>30</v>
      </c>
      <c r="B31" s="3" t="str">
        <f>RIGHT(Table1[[#This Row],[sales_id]],3)</f>
        <v>030</v>
      </c>
    </row>
    <row r="32" spans="1:2" x14ac:dyDescent="0.35">
      <c r="A32" s="3" t="s">
        <v>31</v>
      </c>
      <c r="B32" s="3" t="str">
        <f>RIGHT(Table1[[#This Row],[sales_id]],3)</f>
        <v>031</v>
      </c>
    </row>
    <row r="33" spans="1:2" x14ac:dyDescent="0.35">
      <c r="A33" s="3" t="s">
        <v>32</v>
      </c>
      <c r="B33" s="3" t="str">
        <f>RIGHT(Table1[[#This Row],[sales_id]],3)</f>
        <v>032</v>
      </c>
    </row>
    <row r="34" spans="1:2" x14ac:dyDescent="0.35">
      <c r="A34" s="3" t="s">
        <v>33</v>
      </c>
      <c r="B34" s="3" t="str">
        <f>RIGHT(Table1[[#This Row],[sales_id]],3)</f>
        <v>033</v>
      </c>
    </row>
    <row r="35" spans="1:2" x14ac:dyDescent="0.35">
      <c r="A35" s="3" t="s">
        <v>34</v>
      </c>
      <c r="B35" s="3" t="str">
        <f>RIGHT(Table1[[#This Row],[sales_id]],3)</f>
        <v>034</v>
      </c>
    </row>
    <row r="36" spans="1:2" x14ac:dyDescent="0.35">
      <c r="A36" s="3" t="s">
        <v>35</v>
      </c>
      <c r="B36" s="3" t="str">
        <f>RIGHT(Table1[[#This Row],[sales_id]],3)</f>
        <v>035</v>
      </c>
    </row>
    <row r="37" spans="1:2" x14ac:dyDescent="0.35">
      <c r="A37" s="3" t="s">
        <v>36</v>
      </c>
      <c r="B37" s="3" t="str">
        <f>RIGHT(Table1[[#This Row],[sales_id]],3)</f>
        <v>036</v>
      </c>
    </row>
    <row r="38" spans="1:2" x14ac:dyDescent="0.35">
      <c r="A38" s="3" t="s">
        <v>37</v>
      </c>
      <c r="B38" s="3" t="str">
        <f>RIGHT(Table1[[#This Row],[sales_id]],3)</f>
        <v>037</v>
      </c>
    </row>
    <row r="39" spans="1:2" x14ac:dyDescent="0.35">
      <c r="A39" s="3" t="s">
        <v>38</v>
      </c>
      <c r="B39" s="3" t="str">
        <f>RIGHT(Table1[[#This Row],[sales_id]],3)</f>
        <v>038</v>
      </c>
    </row>
    <row r="40" spans="1:2" x14ac:dyDescent="0.35">
      <c r="A40" s="3" t="s">
        <v>39</v>
      </c>
      <c r="B40" s="3" t="str">
        <f>RIGHT(Table1[[#This Row],[sales_id]],3)</f>
        <v>039</v>
      </c>
    </row>
    <row r="41" spans="1:2" x14ac:dyDescent="0.35">
      <c r="A41" s="3" t="s">
        <v>40</v>
      </c>
      <c r="B41" s="3" t="str">
        <f>RIGHT(Table1[[#This Row],[sales_id]],3)</f>
        <v>040</v>
      </c>
    </row>
    <row r="42" spans="1:2" x14ac:dyDescent="0.35">
      <c r="A42" s="3" t="s">
        <v>41</v>
      </c>
      <c r="B42" s="3" t="str">
        <f>RIGHT(Table1[[#This Row],[sales_id]],3)</f>
        <v>041</v>
      </c>
    </row>
    <row r="43" spans="1:2" x14ac:dyDescent="0.35">
      <c r="A43" s="3" t="s">
        <v>42</v>
      </c>
      <c r="B43" s="3" t="str">
        <f>RIGHT(Table1[[#This Row],[sales_id]],3)</f>
        <v>042</v>
      </c>
    </row>
    <row r="44" spans="1:2" x14ac:dyDescent="0.35">
      <c r="A44" s="3" t="s">
        <v>43</v>
      </c>
      <c r="B44" s="3" t="str">
        <f>RIGHT(Table1[[#This Row],[sales_id]],3)</f>
        <v>043</v>
      </c>
    </row>
    <row r="45" spans="1:2" x14ac:dyDescent="0.35">
      <c r="A45" s="3" t="s">
        <v>44</v>
      </c>
      <c r="B45" s="3" t="str">
        <f>RIGHT(Table1[[#This Row],[sales_id]],3)</f>
        <v>044</v>
      </c>
    </row>
    <row r="46" spans="1:2" x14ac:dyDescent="0.35">
      <c r="A46" s="3" t="s">
        <v>45</v>
      </c>
      <c r="B46" s="3" t="str">
        <f>RIGHT(Table1[[#This Row],[sales_id]],3)</f>
        <v>045</v>
      </c>
    </row>
    <row r="47" spans="1:2" x14ac:dyDescent="0.35">
      <c r="A47" s="3" t="s">
        <v>46</v>
      </c>
      <c r="B47" s="3" t="str">
        <f>RIGHT(Table1[[#This Row],[sales_id]],3)</f>
        <v>046</v>
      </c>
    </row>
    <row r="48" spans="1:2" x14ac:dyDescent="0.35">
      <c r="A48" s="3" t="s">
        <v>47</v>
      </c>
      <c r="B48" s="3" t="str">
        <f>RIGHT(Table1[[#This Row],[sales_id]],3)</f>
        <v>047</v>
      </c>
    </row>
    <row r="49" spans="1:2" x14ac:dyDescent="0.35">
      <c r="A49" s="3" t="s">
        <v>48</v>
      </c>
      <c r="B49" s="3" t="str">
        <f>RIGHT(Table1[[#This Row],[sales_id]],3)</f>
        <v>048</v>
      </c>
    </row>
    <row r="50" spans="1:2" x14ac:dyDescent="0.35">
      <c r="A50" s="3" t="s">
        <v>49</v>
      </c>
      <c r="B50" s="3" t="str">
        <f>RIGHT(Table1[[#This Row],[sales_id]],3)</f>
        <v>049</v>
      </c>
    </row>
    <row r="51" spans="1:2" x14ac:dyDescent="0.35">
      <c r="A51" s="3" t="s">
        <v>50</v>
      </c>
      <c r="B51" s="3" t="str">
        <f>RIGHT(Table1[[#This Row],[sales_id]],3)</f>
        <v>050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BBA1-4881-4DFE-A8F1-C06B759A29A8}">
  <dimension ref="A1:C51"/>
  <sheetViews>
    <sheetView workbookViewId="0">
      <selection activeCell="E8" sqref="E8"/>
    </sheetView>
  </sheetViews>
  <sheetFormatPr defaultRowHeight="14.5" x14ac:dyDescent="0.35"/>
  <cols>
    <col min="1" max="1" width="13.83203125" bestFit="1" customWidth="1"/>
    <col min="2" max="2" width="17.1640625" bestFit="1" customWidth="1"/>
    <col min="3" max="3" width="12.4140625" bestFit="1" customWidth="1"/>
  </cols>
  <sheetData>
    <row r="1" spans="1:3" x14ac:dyDescent="0.35">
      <c r="A1" s="2" t="s">
        <v>52</v>
      </c>
      <c r="B1" s="2" t="s">
        <v>53</v>
      </c>
      <c r="C1" s="2" t="s">
        <v>141</v>
      </c>
    </row>
    <row r="2" spans="1:3" x14ac:dyDescent="0.35">
      <c r="A2" s="1" t="s">
        <v>54</v>
      </c>
      <c r="B2" s="1" t="s">
        <v>55</v>
      </c>
      <c r="C2" s="1" t="str">
        <f>LEFT(Table2[[#This Row],[Product Name]],5)</f>
        <v>Lapto</v>
      </c>
    </row>
    <row r="3" spans="1:3" x14ac:dyDescent="0.35">
      <c r="A3" s="1" t="s">
        <v>56</v>
      </c>
      <c r="B3" s="1" t="s">
        <v>57</v>
      </c>
      <c r="C3" s="1" t="str">
        <f>LEFT(Table2[[#This Row],[Product Name]],5)</f>
        <v>Lapto</v>
      </c>
    </row>
    <row r="4" spans="1:3" x14ac:dyDescent="0.35">
      <c r="A4" s="1" t="s">
        <v>58</v>
      </c>
      <c r="B4" s="1" t="s">
        <v>59</v>
      </c>
      <c r="C4" s="1" t="str">
        <f>LEFT(Table2[[#This Row],[Product Name]],5)</f>
        <v>Gamin</v>
      </c>
    </row>
    <row r="5" spans="1:3" x14ac:dyDescent="0.35">
      <c r="A5" s="1" t="s">
        <v>60</v>
      </c>
      <c r="B5" s="1" t="s">
        <v>55</v>
      </c>
      <c r="C5" s="1" t="str">
        <f>LEFT(Table2[[#This Row],[Product Name]],5)</f>
        <v>Lapto</v>
      </c>
    </row>
    <row r="6" spans="1:3" x14ac:dyDescent="0.35">
      <c r="A6" s="1" t="s">
        <v>61</v>
      </c>
      <c r="B6" s="1" t="s">
        <v>62</v>
      </c>
      <c r="C6" s="1" t="str">
        <f>LEFT(Table2[[#This Row],[Product Name]],5)</f>
        <v>Deskt</v>
      </c>
    </row>
    <row r="7" spans="1:3" x14ac:dyDescent="0.35">
      <c r="A7" s="1" t="s">
        <v>63</v>
      </c>
      <c r="B7" s="1" t="s">
        <v>64</v>
      </c>
      <c r="C7" s="1" t="str">
        <f>LEFT(Table2[[#This Row],[Product Name]],5)</f>
        <v>Deskt</v>
      </c>
    </row>
    <row r="8" spans="1:3" x14ac:dyDescent="0.35">
      <c r="A8" s="1" t="s">
        <v>65</v>
      </c>
      <c r="B8" s="1" t="s">
        <v>66</v>
      </c>
      <c r="C8" s="1" t="str">
        <f>LEFT(Table2[[#This Row],[Product Name]],5)</f>
        <v>Wirel</v>
      </c>
    </row>
    <row r="9" spans="1:3" x14ac:dyDescent="0.35">
      <c r="A9" s="1" t="s">
        <v>67</v>
      </c>
      <c r="B9" s="1" t="s">
        <v>66</v>
      </c>
      <c r="C9" s="1" t="str">
        <f>LEFT(Table2[[#This Row],[Product Name]],5)</f>
        <v>Wirel</v>
      </c>
    </row>
    <row r="10" spans="1:3" x14ac:dyDescent="0.35">
      <c r="A10" s="1" t="s">
        <v>68</v>
      </c>
      <c r="B10" s="1" t="s">
        <v>69</v>
      </c>
      <c r="C10" s="1" t="str">
        <f>LEFT(Table2[[#This Row],[Product Name]],5)</f>
        <v>Wirel</v>
      </c>
    </row>
    <row r="11" spans="1:3" ht="29" x14ac:dyDescent="0.35">
      <c r="A11" s="1" t="s">
        <v>70</v>
      </c>
      <c r="B11" s="1" t="s">
        <v>71</v>
      </c>
      <c r="C11" s="1" t="str">
        <f>LEFT(Table2[[#This Row],[Product Name]],5)</f>
        <v>Bluet</v>
      </c>
    </row>
    <row r="12" spans="1:3" ht="29" x14ac:dyDescent="0.35">
      <c r="A12" s="1" t="s">
        <v>72</v>
      </c>
      <c r="B12" s="1" t="s">
        <v>71</v>
      </c>
      <c r="C12" s="1" t="str">
        <f>LEFT(Table2[[#This Row],[Product Name]],5)</f>
        <v>Bluet</v>
      </c>
    </row>
    <row r="13" spans="1:3" x14ac:dyDescent="0.35">
      <c r="A13" s="1" t="s">
        <v>73</v>
      </c>
      <c r="B13" s="1" t="s">
        <v>74</v>
      </c>
      <c r="C13" s="1" t="str">
        <f>LEFT(Table2[[#This Row],[Product Name]],5)</f>
        <v>Gamin</v>
      </c>
    </row>
    <row r="14" spans="1:3" x14ac:dyDescent="0.35">
      <c r="A14" s="1" t="s">
        <v>75</v>
      </c>
      <c r="B14" s="1" t="s">
        <v>76</v>
      </c>
      <c r="C14" s="1" t="str">
        <f>LEFT(Table2[[#This Row],[Product Name]],5)</f>
        <v>USB-C</v>
      </c>
    </row>
    <row r="15" spans="1:3" x14ac:dyDescent="0.35">
      <c r="A15" s="1" t="s">
        <v>77</v>
      </c>
      <c r="B15" s="1" t="s">
        <v>78</v>
      </c>
      <c r="C15" s="1" t="str">
        <f>LEFT(Table2[[#This Row],[Product Name]],5)</f>
        <v>USB-C</v>
      </c>
    </row>
    <row r="16" spans="1:3" x14ac:dyDescent="0.35">
      <c r="A16" s="1" t="s">
        <v>79</v>
      </c>
      <c r="B16" s="1" t="s">
        <v>76</v>
      </c>
      <c r="C16" s="1" t="str">
        <f>LEFT(Table2[[#This Row],[Product Name]],5)</f>
        <v>USB-C</v>
      </c>
    </row>
    <row r="17" spans="1:3" x14ac:dyDescent="0.35">
      <c r="A17" s="1" t="s">
        <v>80</v>
      </c>
      <c r="B17" s="1" t="s">
        <v>81</v>
      </c>
      <c r="C17" s="1" t="str">
        <f>LEFT(Table2[[#This Row],[Product Name]],5)</f>
        <v>Smart</v>
      </c>
    </row>
    <row r="18" spans="1:3" x14ac:dyDescent="0.35">
      <c r="A18" s="1" t="s">
        <v>82</v>
      </c>
      <c r="B18" s="1" t="s">
        <v>83</v>
      </c>
      <c r="C18" s="1" t="str">
        <f>LEFT(Table2[[#This Row],[Product Name]],5)</f>
        <v>Smart</v>
      </c>
    </row>
    <row r="19" spans="1:3" x14ac:dyDescent="0.35">
      <c r="A19" s="1" t="s">
        <v>84</v>
      </c>
      <c r="B19" s="1" t="s">
        <v>81</v>
      </c>
      <c r="C19" s="1" t="str">
        <f>LEFT(Table2[[#This Row],[Product Name]],5)</f>
        <v>Smart</v>
      </c>
    </row>
    <row r="20" spans="1:3" x14ac:dyDescent="0.35">
      <c r="A20" s="1" t="s">
        <v>85</v>
      </c>
      <c r="B20" s="1" t="s">
        <v>86</v>
      </c>
      <c r="C20" s="1" t="str">
        <f>LEFT(Table2[[#This Row],[Product Name]],5)</f>
        <v>Fitne</v>
      </c>
    </row>
    <row r="21" spans="1:3" x14ac:dyDescent="0.35">
      <c r="A21" s="1" t="s">
        <v>87</v>
      </c>
      <c r="B21" s="1" t="s">
        <v>88</v>
      </c>
      <c r="C21" s="1" t="str">
        <f>LEFT(Table2[[#This Row],[Product Name]],5)</f>
        <v>Table</v>
      </c>
    </row>
    <row r="22" spans="1:3" x14ac:dyDescent="0.35">
      <c r="A22" s="1" t="s">
        <v>89</v>
      </c>
      <c r="B22" s="1" t="s">
        <v>90</v>
      </c>
      <c r="C22" s="1" t="str">
        <f>LEFT(Table2[[#This Row],[Product Name]],5)</f>
        <v>Table</v>
      </c>
    </row>
    <row r="23" spans="1:3" x14ac:dyDescent="0.35">
      <c r="A23" s="1" t="s">
        <v>91</v>
      </c>
      <c r="B23" s="1" t="s">
        <v>88</v>
      </c>
      <c r="C23" s="1" t="str">
        <f>LEFT(Table2[[#This Row],[Product Name]],5)</f>
        <v>Table</v>
      </c>
    </row>
    <row r="24" spans="1:3" x14ac:dyDescent="0.35">
      <c r="A24" s="1" t="s">
        <v>92</v>
      </c>
      <c r="B24" s="1" t="s">
        <v>93</v>
      </c>
      <c r="C24" s="1" t="str">
        <f>LEFT(Table2[[#This Row],[Product Name]],5)</f>
        <v>Smart</v>
      </c>
    </row>
    <row r="25" spans="1:3" ht="29" x14ac:dyDescent="0.35">
      <c r="A25" s="1" t="s">
        <v>94</v>
      </c>
      <c r="B25" s="1" t="s">
        <v>95</v>
      </c>
      <c r="C25" s="1" t="str">
        <f>LEFT(Table2[[#This Row],[Product Name]],5)</f>
        <v>Smart</v>
      </c>
    </row>
    <row r="26" spans="1:3" x14ac:dyDescent="0.35">
      <c r="A26" s="1" t="s">
        <v>96</v>
      </c>
      <c r="B26" s="1" t="s">
        <v>93</v>
      </c>
      <c r="C26" s="1" t="str">
        <f>LEFT(Table2[[#This Row],[Product Name]],5)</f>
        <v>Smart</v>
      </c>
    </row>
    <row r="27" spans="1:3" ht="29" x14ac:dyDescent="0.35">
      <c r="A27" s="1" t="s">
        <v>97</v>
      </c>
      <c r="B27" s="1" t="s">
        <v>98</v>
      </c>
      <c r="C27" s="1" t="str">
        <f>LEFT(Table2[[#This Row],[Product Name]],5)</f>
        <v>Smart</v>
      </c>
    </row>
    <row r="28" spans="1:3" ht="29" x14ac:dyDescent="0.35">
      <c r="A28" s="1" t="s">
        <v>99</v>
      </c>
      <c r="B28" s="1" t="s">
        <v>100</v>
      </c>
      <c r="C28" s="1" t="str">
        <f>LEFT(Table2[[#This Row],[Product Name]],5)</f>
        <v>Bluet</v>
      </c>
    </row>
    <row r="29" spans="1:3" ht="29" x14ac:dyDescent="0.35">
      <c r="A29" s="1" t="s">
        <v>101</v>
      </c>
      <c r="B29" s="1" t="s">
        <v>102</v>
      </c>
      <c r="C29" s="1" t="str">
        <f>LEFT(Table2[[#This Row],[Product Name]],5)</f>
        <v>Bluet</v>
      </c>
    </row>
    <row r="30" spans="1:3" ht="29" x14ac:dyDescent="0.35">
      <c r="A30" s="1" t="s">
        <v>103</v>
      </c>
      <c r="B30" s="1" t="s">
        <v>100</v>
      </c>
      <c r="C30" s="1" t="str">
        <f>LEFT(Table2[[#This Row],[Product Name]],5)</f>
        <v>Bluet</v>
      </c>
    </row>
    <row r="31" spans="1:3" x14ac:dyDescent="0.35">
      <c r="A31" s="1" t="s">
        <v>104</v>
      </c>
      <c r="B31" s="1" t="s">
        <v>105</v>
      </c>
      <c r="C31" s="1" t="str">
        <f>LEFT(Table2[[#This Row],[Product Name]],5)</f>
        <v>27-in</v>
      </c>
    </row>
    <row r="32" spans="1:3" ht="29" x14ac:dyDescent="0.35">
      <c r="A32" s="1" t="s">
        <v>106</v>
      </c>
      <c r="B32" s="1" t="s">
        <v>107</v>
      </c>
      <c r="C32" s="1" t="str">
        <f>LEFT(Table2[[#This Row],[Product Name]],5)</f>
        <v>32-in</v>
      </c>
    </row>
    <row r="33" spans="1:3" ht="29" x14ac:dyDescent="0.35">
      <c r="A33" s="1" t="s">
        <v>108</v>
      </c>
      <c r="B33" s="1" t="s">
        <v>109</v>
      </c>
      <c r="C33" s="1" t="str">
        <f>LEFT(Table2[[#This Row],[Product Name]],5)</f>
        <v>24-in</v>
      </c>
    </row>
    <row r="34" spans="1:3" ht="29" x14ac:dyDescent="0.35">
      <c r="A34" s="1" t="s">
        <v>110</v>
      </c>
      <c r="B34" s="1" t="s">
        <v>111</v>
      </c>
      <c r="C34" s="1" t="str">
        <f>LEFT(Table2[[#This Row],[Product Name]],5)</f>
        <v>Exter</v>
      </c>
    </row>
    <row r="35" spans="1:3" ht="29" x14ac:dyDescent="0.35">
      <c r="A35" s="1" t="s">
        <v>112</v>
      </c>
      <c r="B35" s="1" t="s">
        <v>113</v>
      </c>
      <c r="C35" s="1" t="str">
        <f>LEFT(Table2[[#This Row],[Product Name]],5)</f>
        <v>Exter</v>
      </c>
    </row>
    <row r="36" spans="1:3" ht="29" x14ac:dyDescent="0.35">
      <c r="A36" s="1" t="s">
        <v>114</v>
      </c>
      <c r="B36" s="1" t="s">
        <v>111</v>
      </c>
      <c r="C36" s="1" t="str">
        <f>LEFT(Table2[[#This Row],[Product Name]],5)</f>
        <v>Exter</v>
      </c>
    </row>
    <row r="37" spans="1:3" x14ac:dyDescent="0.35">
      <c r="A37" s="1" t="s">
        <v>115</v>
      </c>
      <c r="B37" s="1" t="s">
        <v>116</v>
      </c>
      <c r="C37" s="1" t="str">
        <f>LEFT(Table2[[#This Row],[Product Name]],5)</f>
        <v>SSD D</v>
      </c>
    </row>
    <row r="38" spans="1:3" x14ac:dyDescent="0.35">
      <c r="A38" s="1" t="s">
        <v>117</v>
      </c>
      <c r="B38" s="1" t="s">
        <v>118</v>
      </c>
      <c r="C38" s="1" t="str">
        <f>LEFT(Table2[[#This Row],[Product Name]],5)</f>
        <v>SSD D</v>
      </c>
    </row>
    <row r="39" spans="1:3" x14ac:dyDescent="0.35">
      <c r="A39" s="1" t="s">
        <v>119</v>
      </c>
      <c r="B39" s="1" t="s">
        <v>118</v>
      </c>
      <c r="C39" s="1" t="str">
        <f>LEFT(Table2[[#This Row],[Product Name]],5)</f>
        <v>SSD D</v>
      </c>
    </row>
    <row r="40" spans="1:3" ht="29" x14ac:dyDescent="0.35">
      <c r="A40" s="1" t="s">
        <v>120</v>
      </c>
      <c r="B40" s="1" t="s">
        <v>121</v>
      </c>
      <c r="C40" s="1" t="str">
        <f>LEFT(Table2[[#This Row],[Product Name]],5)</f>
        <v>USB F</v>
      </c>
    </row>
    <row r="41" spans="1:3" ht="29" x14ac:dyDescent="0.35">
      <c r="A41" s="1" t="s">
        <v>122</v>
      </c>
      <c r="B41" s="1" t="s">
        <v>123</v>
      </c>
      <c r="C41" s="1" t="str">
        <f>LEFT(Table2[[#This Row],[Product Name]],5)</f>
        <v>USB F</v>
      </c>
    </row>
    <row r="42" spans="1:3" ht="29" x14ac:dyDescent="0.35">
      <c r="A42" s="1" t="s">
        <v>124</v>
      </c>
      <c r="B42" s="1" t="s">
        <v>121</v>
      </c>
      <c r="C42" s="1" t="str">
        <f>LEFT(Table2[[#This Row],[Product Name]],5)</f>
        <v>USB F</v>
      </c>
    </row>
    <row r="43" spans="1:3" ht="29" x14ac:dyDescent="0.35">
      <c r="A43" s="1" t="s">
        <v>125</v>
      </c>
      <c r="B43" s="1" t="s">
        <v>126</v>
      </c>
      <c r="C43" s="1" t="str">
        <f>LEFT(Table2[[#This Row],[Product Name]],5)</f>
        <v>Wirel</v>
      </c>
    </row>
    <row r="44" spans="1:3" ht="29" x14ac:dyDescent="0.35">
      <c r="A44" s="1" t="s">
        <v>127</v>
      </c>
      <c r="B44" s="1" t="s">
        <v>128</v>
      </c>
      <c r="C44" s="1" t="str">
        <f>LEFT(Table2[[#This Row],[Product Name]],5)</f>
        <v>Wirel</v>
      </c>
    </row>
    <row r="45" spans="1:3" ht="29" x14ac:dyDescent="0.35">
      <c r="A45" s="1" t="s">
        <v>129</v>
      </c>
      <c r="B45" s="1" t="s">
        <v>126</v>
      </c>
      <c r="C45" s="1" t="str">
        <f>LEFT(Table2[[#This Row],[Product Name]],5)</f>
        <v>Wirel</v>
      </c>
    </row>
    <row r="46" spans="1:3" ht="29" x14ac:dyDescent="0.35">
      <c r="A46" s="1" t="s">
        <v>130</v>
      </c>
      <c r="B46" s="1" t="s">
        <v>131</v>
      </c>
      <c r="C46" s="1" t="str">
        <f>LEFT(Table2[[#This Row],[Product Name]],5)</f>
        <v>Noise</v>
      </c>
    </row>
    <row r="47" spans="1:3" ht="29" x14ac:dyDescent="0.35">
      <c r="A47" s="1" t="s">
        <v>132</v>
      </c>
      <c r="B47" s="1" t="s">
        <v>133</v>
      </c>
      <c r="C47" s="1" t="str">
        <f>LEFT(Table2[[#This Row],[Product Name]],5)</f>
        <v>Porta</v>
      </c>
    </row>
    <row r="48" spans="1:3" ht="29" x14ac:dyDescent="0.35">
      <c r="A48" s="1" t="s">
        <v>134</v>
      </c>
      <c r="B48" s="1" t="s">
        <v>135</v>
      </c>
      <c r="C48" s="1" t="str">
        <f>LEFT(Table2[[#This Row],[Product Name]],5)</f>
        <v>Porta</v>
      </c>
    </row>
    <row r="49" spans="1:3" ht="29" x14ac:dyDescent="0.35">
      <c r="A49" s="1" t="s">
        <v>136</v>
      </c>
      <c r="B49" s="1" t="s">
        <v>133</v>
      </c>
      <c r="C49" s="1" t="str">
        <f>LEFT(Table2[[#This Row],[Product Name]],5)</f>
        <v>Porta</v>
      </c>
    </row>
    <row r="50" spans="1:3" ht="29" x14ac:dyDescent="0.35">
      <c r="A50" s="1" t="s">
        <v>137</v>
      </c>
      <c r="B50" s="1" t="s">
        <v>138</v>
      </c>
      <c r="C50" s="1" t="str">
        <f>LEFT(Table2[[#This Row],[Product Name]],5)</f>
        <v>Wirel</v>
      </c>
    </row>
    <row r="51" spans="1:3" x14ac:dyDescent="0.35">
      <c r="A51" s="1" t="s">
        <v>139</v>
      </c>
      <c r="B51" s="1" t="s">
        <v>140</v>
      </c>
      <c r="C51" s="1" t="str">
        <f>LEFT(Table2[[#This Row],[Product Name]],5)</f>
        <v>Smart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F10D-0AF5-43BE-9411-B7F96C4935AC}">
  <dimension ref="A1:H51"/>
  <sheetViews>
    <sheetView tabSelected="1" topLeftCell="E1" zoomScale="160" zoomScaleNormal="160" workbookViewId="0">
      <selection activeCell="H5" sqref="H5"/>
    </sheetView>
  </sheetViews>
  <sheetFormatPr defaultRowHeight="14.5" x14ac:dyDescent="0.35"/>
  <cols>
    <col min="1" max="1" width="11.08203125" customWidth="1"/>
    <col min="2" max="2" width="17.08203125" bestFit="1" customWidth="1"/>
    <col min="3" max="3" width="17.08203125" customWidth="1"/>
    <col min="4" max="4" width="17.08203125" bestFit="1" customWidth="1"/>
    <col min="5" max="5" width="15.6640625" bestFit="1" customWidth="1"/>
    <col min="6" max="6" width="16.58203125" bestFit="1" customWidth="1"/>
    <col min="8" max="8" width="30.1640625" bestFit="1" customWidth="1"/>
  </cols>
  <sheetData>
    <row r="1" spans="1:8" x14ac:dyDescent="0.35">
      <c r="A1" s="3" t="s">
        <v>193</v>
      </c>
      <c r="B1" s="3" t="s">
        <v>192</v>
      </c>
      <c r="C1" s="3" t="s">
        <v>196</v>
      </c>
      <c r="D1" s="3" t="s">
        <v>194</v>
      </c>
      <c r="E1" s="5" t="s">
        <v>195</v>
      </c>
      <c r="F1" s="3" t="s">
        <v>197</v>
      </c>
      <c r="G1" s="3" t="s">
        <v>198</v>
      </c>
      <c r="H1" s="5" t="s">
        <v>199</v>
      </c>
    </row>
    <row r="2" spans="1:8" x14ac:dyDescent="0.35">
      <c r="A2" s="3">
        <v>1</v>
      </c>
      <c r="B2" s="3" t="s">
        <v>142</v>
      </c>
      <c r="C2" s="3" t="str">
        <f>LEFT(Table3[[#This Row],[Full Names]],FIND(" ",Table3[[#This Row],[Full Names]]))</f>
        <v xml:space="preserve">Arjun </v>
      </c>
      <c r="D2" s="3" t="str">
        <f>RIGHT(Table3[[#This Row],[Full Names]],LEN(Table3[[#This Row],[Full Names]])-FIND(" ",Table3[[#This Row],[Full Names]]))</f>
        <v>Mehta</v>
      </c>
      <c r="E2" s="4">
        <v>33736</v>
      </c>
      <c r="F2" s="3">
        <f>YEAR(Table3[[#This Row],[Date of Birth]])</f>
        <v>1992</v>
      </c>
      <c r="G2" s="6">
        <f>2025-Table3[[#This Row],[year_of_birth]]</f>
        <v>33</v>
      </c>
      <c r="H2" s="7" t="s">
        <v>200</v>
      </c>
    </row>
    <row r="3" spans="1:8" x14ac:dyDescent="0.35">
      <c r="A3" s="3">
        <v>2</v>
      </c>
      <c r="B3" s="3" t="s">
        <v>143</v>
      </c>
      <c r="C3" s="3" t="str">
        <f>LEFT(Table3[[#This Row],[Full Names]],FIND(" ",Table3[[#This Row],[Full Names]]))</f>
        <v xml:space="preserve">Rohan </v>
      </c>
      <c r="D3" s="3" t="str">
        <f>RIGHT(Table3[[#This Row],[Full Names]],LEN(Table3[[#This Row],[Full Names]])-FIND(" ",Table3[[#This Row],[Full Names]]))</f>
        <v>Gupta</v>
      </c>
      <c r="E3" s="4">
        <v>33108</v>
      </c>
      <c r="F3" s="3">
        <f>YEAR(Table3[[#This Row],[Date of Birth]])</f>
        <v>1990</v>
      </c>
      <c r="G3" s="6">
        <f>2025-Table3[[#This Row],[year_of_birth]]</f>
        <v>35</v>
      </c>
      <c r="H3" s="7" t="s">
        <v>201</v>
      </c>
    </row>
    <row r="4" spans="1:8" x14ac:dyDescent="0.35">
      <c r="A4" s="3">
        <v>3</v>
      </c>
      <c r="B4" s="3" t="s">
        <v>144</v>
      </c>
      <c r="C4" s="3" t="str">
        <f>LEFT(Table3[[#This Row],[Full Names]],FIND(" ",Table3[[#This Row],[Full Names]]))</f>
        <v xml:space="preserve">Sagar </v>
      </c>
      <c r="D4" s="3" t="str">
        <f>RIGHT(Table3[[#This Row],[Full Names]],LEN(Table3[[#This Row],[Full Names]])-FIND(" ",Table3[[#This Row],[Full Names]]))</f>
        <v>Deshmukh</v>
      </c>
      <c r="E4" s="4">
        <v>32525</v>
      </c>
      <c r="F4" s="3">
        <f>YEAR(Table3[[#This Row],[Date of Birth]])</f>
        <v>1989</v>
      </c>
      <c r="G4" s="6">
        <f>2025-Table3[[#This Row],[year_of_birth]]</f>
        <v>36</v>
      </c>
      <c r="H4" s="7" t="s">
        <v>202</v>
      </c>
    </row>
    <row r="5" spans="1:8" x14ac:dyDescent="0.35">
      <c r="A5" s="3">
        <v>4</v>
      </c>
      <c r="B5" s="3" t="s">
        <v>145</v>
      </c>
      <c r="C5" s="3" t="str">
        <f>LEFT(Table3[[#This Row],[Full Names]],FIND(" ",Table3[[#This Row],[Full Names]]))</f>
        <v xml:space="preserve">Neha </v>
      </c>
      <c r="D5" s="3" t="str">
        <f>RIGHT(Table3[[#This Row],[Full Names]],LEN(Table3[[#This Row],[Full Names]])-FIND(" ",Table3[[#This Row],[Full Names]]))</f>
        <v>Kulkarni</v>
      </c>
      <c r="E5" s="4">
        <v>34647</v>
      </c>
      <c r="F5" s="3">
        <f>YEAR(Table3[[#This Row],[Date of Birth]])</f>
        <v>1994</v>
      </c>
      <c r="G5" s="6">
        <f>2025-Table3[[#This Row],[year_of_birth]]</f>
        <v>31</v>
      </c>
      <c r="H5" s="7" t="s">
        <v>203</v>
      </c>
    </row>
    <row r="6" spans="1:8" x14ac:dyDescent="0.35">
      <c r="A6" s="3">
        <v>5</v>
      </c>
      <c r="B6" s="3" t="s">
        <v>146</v>
      </c>
      <c r="C6" s="3" t="str">
        <f>LEFT(Table3[[#This Row],[Full Names]],FIND(" ",Table3[[#This Row],[Full Names]]))</f>
        <v xml:space="preserve">Pooja </v>
      </c>
      <c r="D6" s="3" t="str">
        <f>RIGHT(Table3[[#This Row],[Full Names]],LEN(Table3[[#This Row],[Full Names]])-FIND(" ",Table3[[#This Row],[Full Names]]))</f>
        <v>Sharma</v>
      </c>
      <c r="E6" s="4">
        <v>33297</v>
      </c>
      <c r="F6" s="3">
        <f>YEAR(Table3[[#This Row],[Date of Birth]])</f>
        <v>1991</v>
      </c>
      <c r="G6" s="6">
        <f>2025-Table3[[#This Row],[year_of_birth]]</f>
        <v>34</v>
      </c>
      <c r="H6" s="7" t="s">
        <v>204</v>
      </c>
    </row>
    <row r="7" spans="1:8" x14ac:dyDescent="0.35">
      <c r="A7" s="3">
        <v>6</v>
      </c>
      <c r="B7" s="3" t="s">
        <v>147</v>
      </c>
      <c r="C7" s="3" t="str">
        <f>LEFT(Table3[[#This Row],[Full Names]],FIND(" ",Table3[[#This Row],[Full Names]]))</f>
        <v xml:space="preserve">Kiran </v>
      </c>
      <c r="D7" s="3" t="str">
        <f>RIGHT(Table3[[#This Row],[Full Names]],LEN(Table3[[#This Row],[Full Names]])-FIND(" ",Table3[[#This Row],[Full Names]]))</f>
        <v>Rajput</v>
      </c>
      <c r="E7" s="4">
        <v>32308</v>
      </c>
      <c r="F7" s="3">
        <f>YEAR(Table3[[#This Row],[Date of Birth]])</f>
        <v>1988</v>
      </c>
      <c r="G7" s="6">
        <f>2025-Table3[[#This Row],[year_of_birth]]</f>
        <v>37</v>
      </c>
      <c r="H7" s="7" t="s">
        <v>205</v>
      </c>
    </row>
    <row r="8" spans="1:8" x14ac:dyDescent="0.35">
      <c r="A8" s="3">
        <v>7</v>
      </c>
      <c r="B8" s="3" t="s">
        <v>148</v>
      </c>
      <c r="C8" s="3" t="str">
        <f>LEFT(Table3[[#This Row],[Full Names]],FIND(" ",Table3[[#This Row],[Full Names]]))</f>
        <v xml:space="preserve">Swati </v>
      </c>
      <c r="D8" s="3" t="str">
        <f>RIGHT(Table3[[#This Row],[Full Names]],LEN(Table3[[#This Row],[Full Names]])-FIND(" ",Table3[[#This Row],[Full Names]]))</f>
        <v>Nair</v>
      </c>
      <c r="E8" s="4">
        <v>34215</v>
      </c>
      <c r="F8" s="3">
        <f>YEAR(Table3[[#This Row],[Date of Birth]])</f>
        <v>1993</v>
      </c>
      <c r="G8" s="6">
        <f>2025-Table3[[#This Row],[year_of_birth]]</f>
        <v>32</v>
      </c>
      <c r="H8" s="8" t="s">
        <v>206</v>
      </c>
    </row>
    <row r="9" spans="1:8" x14ac:dyDescent="0.35">
      <c r="A9" s="3">
        <v>8</v>
      </c>
      <c r="B9" s="3" t="s">
        <v>149</v>
      </c>
      <c r="C9" s="3" t="str">
        <f>LEFT(Table3[[#This Row],[Full Names]],FIND(" ",Table3[[#This Row],[Full Names]]))</f>
        <v xml:space="preserve">Varun </v>
      </c>
      <c r="D9" s="3" t="str">
        <f>RIGHT(Table3[[#This Row],[Full Names]],LEN(Table3[[#This Row],[Full Names]])-FIND(" ",Table3[[#This Row],[Full Names]]))</f>
        <v>Chatterjee</v>
      </c>
      <c r="E9" s="4">
        <v>32130</v>
      </c>
      <c r="F9" s="3">
        <f>YEAR(Table3[[#This Row],[Date of Birth]])</f>
        <v>1987</v>
      </c>
      <c r="G9" s="6">
        <f>2025-Table3[[#This Row],[year_of_birth]]</f>
        <v>38</v>
      </c>
      <c r="H9" s="7" t="s">
        <v>207</v>
      </c>
    </row>
    <row r="10" spans="1:8" x14ac:dyDescent="0.35">
      <c r="A10" s="3">
        <v>9</v>
      </c>
      <c r="B10" s="3" t="s">
        <v>150</v>
      </c>
      <c r="C10" s="3" t="str">
        <f>LEFT(Table3[[#This Row],[Full Names]],FIND(" ",Table3[[#This Row],[Full Names]]))</f>
        <v xml:space="preserve">Meera </v>
      </c>
      <c r="D10" s="3" t="str">
        <f>RIGHT(Table3[[#This Row],[Full Names]],LEN(Table3[[#This Row],[Full Names]])-FIND(" ",Table3[[#This Row],[Full Names]]))</f>
        <v>Ramaswamy</v>
      </c>
      <c r="E10" s="4">
        <v>34796</v>
      </c>
      <c r="F10" s="3">
        <f>YEAR(Table3[[#This Row],[Date of Birth]])</f>
        <v>1995</v>
      </c>
      <c r="G10" s="6">
        <f>2025-Table3[[#This Row],[year_of_birth]]</f>
        <v>30</v>
      </c>
      <c r="H10" s="7" t="s">
        <v>208</v>
      </c>
    </row>
    <row r="11" spans="1:8" x14ac:dyDescent="0.35">
      <c r="A11" s="3">
        <v>10</v>
      </c>
      <c r="B11" s="3" t="s">
        <v>151</v>
      </c>
      <c r="C11" s="3" t="str">
        <f>LEFT(Table3[[#This Row],[Full Names]],FIND(" ",Table3[[#This Row],[Full Names]]))</f>
        <v xml:space="preserve">Sanjay </v>
      </c>
      <c r="D11" s="3" t="str">
        <f>RIGHT(Table3[[#This Row],[Full Names]],LEN(Table3[[#This Row],[Full Names]])-FIND(" ",Table3[[#This Row],[Full Names]]))</f>
        <v>Bhatt</v>
      </c>
      <c r="E11" s="4">
        <v>31710</v>
      </c>
      <c r="F11" s="3">
        <f>YEAR(Table3[[#This Row],[Date of Birth]])</f>
        <v>1986</v>
      </c>
      <c r="G11" s="6">
        <f>2025-Table3[[#This Row],[year_of_birth]]</f>
        <v>39</v>
      </c>
      <c r="H11" s="7" t="s">
        <v>209</v>
      </c>
    </row>
    <row r="12" spans="1:8" x14ac:dyDescent="0.35">
      <c r="A12" s="3">
        <v>11</v>
      </c>
      <c r="B12" s="3" t="s">
        <v>152</v>
      </c>
      <c r="C12" s="3" t="str">
        <f>LEFT(Table3[[#This Row],[Full Names]],FIND(" ",Table3[[#This Row],[Full Names]]))</f>
        <v xml:space="preserve">Priya </v>
      </c>
      <c r="D12" s="3" t="str">
        <f>RIGHT(Table3[[#This Row],[Full Names]],LEN(Table3[[#This Row],[Full Names]])-FIND(" ",Table3[[#This Row],[Full Names]]))</f>
        <v>Iyer</v>
      </c>
      <c r="E12" s="4">
        <v>33679</v>
      </c>
      <c r="F12" s="3">
        <f>YEAR(Table3[[#This Row],[Date of Birth]])</f>
        <v>1992</v>
      </c>
      <c r="G12" s="6">
        <f>2025-Table3[[#This Row],[year_of_birth]]</f>
        <v>33</v>
      </c>
      <c r="H12" s="8" t="s">
        <v>206</v>
      </c>
    </row>
    <row r="13" spans="1:8" x14ac:dyDescent="0.35">
      <c r="A13" s="3">
        <v>12</v>
      </c>
      <c r="B13" s="3" t="s">
        <v>153</v>
      </c>
      <c r="C13" s="3" t="str">
        <f>LEFT(Table3[[#This Row],[Full Names]],FIND(" ",Table3[[#This Row],[Full Names]]))</f>
        <v xml:space="preserve">Dev </v>
      </c>
      <c r="D13" s="3" t="str">
        <f>RIGHT(Table3[[#This Row],[Full Names]],LEN(Table3[[#This Row],[Full Names]])-FIND(" ",Table3[[#This Row],[Full Names]]))</f>
        <v>Malhotra</v>
      </c>
      <c r="E13" s="4">
        <v>32700</v>
      </c>
      <c r="F13" s="3">
        <f>YEAR(Table3[[#This Row],[Date of Birth]])</f>
        <v>1989</v>
      </c>
      <c r="G13" s="6">
        <f>2025-Table3[[#This Row],[year_of_birth]]</f>
        <v>36</v>
      </c>
      <c r="H13" s="7" t="s">
        <v>210</v>
      </c>
    </row>
    <row r="14" spans="1:8" x14ac:dyDescent="0.35">
      <c r="A14" s="3">
        <v>13</v>
      </c>
      <c r="B14" s="3" t="s">
        <v>154</v>
      </c>
      <c r="C14" s="3" t="str">
        <f>LEFT(Table3[[#This Row],[Full Names]],FIND(" ",Table3[[#This Row],[Full Names]]))</f>
        <v xml:space="preserve">Shruti </v>
      </c>
      <c r="D14" s="3" t="str">
        <f>RIGHT(Table3[[#This Row],[Full Names]],LEN(Table3[[#This Row],[Full Names]])-FIND(" ",Table3[[#This Row],[Full Names]]))</f>
        <v>Verma</v>
      </c>
      <c r="E14" s="4">
        <v>35069</v>
      </c>
      <c r="F14" s="3">
        <f>YEAR(Table3[[#This Row],[Date of Birth]])</f>
        <v>1996</v>
      </c>
      <c r="G14" s="6">
        <f>2025-Table3[[#This Row],[year_of_birth]]</f>
        <v>29</v>
      </c>
      <c r="H14" s="7" t="s">
        <v>211</v>
      </c>
    </row>
    <row r="15" spans="1:8" x14ac:dyDescent="0.35">
      <c r="A15" s="3">
        <v>14</v>
      </c>
      <c r="B15" s="3" t="s">
        <v>155</v>
      </c>
      <c r="C15" s="3" t="str">
        <f>LEFT(Table3[[#This Row],[Full Names]],FIND(" ",Table3[[#This Row],[Full Names]]))</f>
        <v xml:space="preserve">Tanmay </v>
      </c>
      <c r="D15" s="3" t="str">
        <f>RIGHT(Table3[[#This Row],[Full Names]],LEN(Table3[[#This Row],[Full Names]])-FIND(" ",Table3[[#This Row],[Full Names]]))</f>
        <v>Saxena</v>
      </c>
      <c r="E15" s="4">
        <v>33114</v>
      </c>
      <c r="F15" s="3">
        <f>YEAR(Table3[[#This Row],[Date of Birth]])</f>
        <v>1990</v>
      </c>
      <c r="G15" s="6">
        <f>2025-Table3[[#This Row],[year_of_birth]]</f>
        <v>35</v>
      </c>
      <c r="H15" s="7" t="s">
        <v>212</v>
      </c>
    </row>
    <row r="16" spans="1:8" x14ac:dyDescent="0.35">
      <c r="A16" s="3">
        <v>15</v>
      </c>
      <c r="B16" s="3" t="s">
        <v>156</v>
      </c>
      <c r="C16" s="3" t="str">
        <f>LEFT(Table3[[#This Row],[Full Names]],FIND(" ",Table3[[#This Row],[Full Names]]))</f>
        <v xml:space="preserve">Aditi </v>
      </c>
      <c r="D16" s="3" t="str">
        <f>RIGHT(Table3[[#This Row],[Full Names]],LEN(Table3[[#This Row],[Full Names]])-FIND(" ",Table3[[#This Row],[Full Names]]))</f>
        <v>Menon</v>
      </c>
      <c r="E16" s="4">
        <v>34018</v>
      </c>
      <c r="F16" s="3">
        <f>YEAR(Table3[[#This Row],[Date of Birth]])</f>
        <v>1993</v>
      </c>
      <c r="G16" s="6">
        <f>2025-Table3[[#This Row],[year_of_birth]]</f>
        <v>32</v>
      </c>
      <c r="H16" s="7" t="s">
        <v>213</v>
      </c>
    </row>
    <row r="17" spans="1:8" x14ac:dyDescent="0.35">
      <c r="A17" s="3">
        <v>16</v>
      </c>
      <c r="B17" s="3" t="s">
        <v>157</v>
      </c>
      <c r="C17" s="3" t="str">
        <f>LEFT(Table3[[#This Row],[Full Names]],FIND(" ",Table3[[#This Row],[Full Names]]))</f>
        <v xml:space="preserve">Naveen </v>
      </c>
      <c r="D17" s="3" t="str">
        <f>RIGHT(Table3[[#This Row],[Full Names]],LEN(Table3[[#This Row],[Full Names]])-FIND(" ",Table3[[#This Row],[Full Names]]))</f>
        <v>Patil</v>
      </c>
      <c r="E17" s="4">
        <v>32315</v>
      </c>
      <c r="F17" s="3">
        <f>YEAR(Table3[[#This Row],[Date of Birth]])</f>
        <v>1988</v>
      </c>
      <c r="G17" s="6">
        <f>2025-Table3[[#This Row],[year_of_birth]]</f>
        <v>37</v>
      </c>
      <c r="H17" s="7" t="s">
        <v>214</v>
      </c>
    </row>
    <row r="18" spans="1:8" x14ac:dyDescent="0.35">
      <c r="A18" s="3">
        <v>17</v>
      </c>
      <c r="B18" s="3" t="s">
        <v>158</v>
      </c>
      <c r="C18" s="3" t="str">
        <f>LEFT(Table3[[#This Row],[Full Names]],FIND(" ",Table3[[#This Row],[Full Names]]))</f>
        <v xml:space="preserve">Kavya </v>
      </c>
      <c r="D18" s="3" t="str">
        <f>RIGHT(Table3[[#This Row],[Full Names]],LEN(Table3[[#This Row],[Full Names]])-FIND(" ",Table3[[#This Row],[Full Names]]))</f>
        <v>Shetty</v>
      </c>
      <c r="E18" s="4">
        <v>34617</v>
      </c>
      <c r="F18" s="3">
        <f>YEAR(Table3[[#This Row],[Date of Birth]])</f>
        <v>1994</v>
      </c>
      <c r="G18" s="6">
        <f>2025-Table3[[#This Row],[year_of_birth]]</f>
        <v>31</v>
      </c>
      <c r="H18" s="7" t="s">
        <v>215</v>
      </c>
    </row>
    <row r="19" spans="1:8" x14ac:dyDescent="0.35">
      <c r="A19" s="3">
        <v>18</v>
      </c>
      <c r="B19" s="3" t="s">
        <v>159</v>
      </c>
      <c r="C19" s="3" t="str">
        <f>LEFT(Table3[[#This Row],[Full Names]],FIND(" ",Table3[[#This Row],[Full Names]]))</f>
        <v xml:space="preserve">Siddharth </v>
      </c>
      <c r="D19" s="3" t="str">
        <f>RIGHT(Table3[[#This Row],[Full Names]],LEN(Table3[[#This Row],[Full Names]])-FIND(" ",Table3[[#This Row],[Full Names]]))</f>
        <v>Reddy</v>
      </c>
      <c r="E19" s="4">
        <v>33574</v>
      </c>
      <c r="F19" s="3">
        <f>YEAR(Table3[[#This Row],[Date of Birth]])</f>
        <v>1991</v>
      </c>
      <c r="G19" s="6">
        <f>2025-Table3[[#This Row],[year_of_birth]]</f>
        <v>34</v>
      </c>
      <c r="H19" s="7" t="s">
        <v>216</v>
      </c>
    </row>
    <row r="20" spans="1:8" x14ac:dyDescent="0.35">
      <c r="A20" s="3">
        <v>19</v>
      </c>
      <c r="B20" s="3" t="s">
        <v>160</v>
      </c>
      <c r="C20" s="3" t="str">
        <f>LEFT(Table3[[#This Row],[Full Names]],FIND(" ",Table3[[#This Row],[Full Names]]))</f>
        <v xml:space="preserve">Rhea </v>
      </c>
      <c r="D20" s="3" t="str">
        <f>RIGHT(Table3[[#This Row],[Full Names]],LEN(Table3[[#This Row],[Full Names]])-FIND(" ",Table3[[#This Row],[Full Names]]))</f>
        <v>Joseph</v>
      </c>
      <c r="E20" s="4">
        <v>34846</v>
      </c>
      <c r="F20" s="3">
        <f>YEAR(Table3[[#This Row],[Date of Birth]])</f>
        <v>1995</v>
      </c>
      <c r="G20" s="6">
        <f>2025-Table3[[#This Row],[year_of_birth]]</f>
        <v>30</v>
      </c>
      <c r="H20" s="7" t="s">
        <v>217</v>
      </c>
    </row>
    <row r="21" spans="1:8" x14ac:dyDescent="0.35">
      <c r="A21" s="3">
        <v>20</v>
      </c>
      <c r="B21" s="3" t="s">
        <v>161</v>
      </c>
      <c r="C21" s="3" t="str">
        <f>LEFT(Table3[[#This Row],[Full Names]],FIND(" ",Table3[[#This Row],[Full Names]]))</f>
        <v xml:space="preserve">Pranav </v>
      </c>
      <c r="D21" s="3" t="str">
        <f>RIGHT(Table3[[#This Row],[Full Names]],LEN(Table3[[#This Row],[Full Names]])-FIND(" ",Table3[[#This Row],[Full Names]]))</f>
        <v>Bhatia</v>
      </c>
      <c r="E21" s="4">
        <v>32765</v>
      </c>
      <c r="F21" s="3">
        <f>YEAR(Table3[[#This Row],[Date of Birth]])</f>
        <v>1989</v>
      </c>
      <c r="G21" s="6">
        <f>2025-Table3[[#This Row],[year_of_birth]]</f>
        <v>36</v>
      </c>
      <c r="H21" s="7" t="s">
        <v>218</v>
      </c>
    </row>
    <row r="22" spans="1:8" x14ac:dyDescent="0.35">
      <c r="A22" s="3">
        <v>21</v>
      </c>
      <c r="B22" s="3" t="s">
        <v>162</v>
      </c>
      <c r="C22" s="3" t="str">
        <f>LEFT(Table3[[#This Row],[Full Names]],FIND(" ",Table3[[#This Row],[Full Names]]))</f>
        <v xml:space="preserve">Ananya </v>
      </c>
      <c r="D22" s="3" t="str">
        <f>RIGHT(Table3[[#This Row],[Full Names]],LEN(Table3[[#This Row],[Full Names]])-FIND(" ",Table3[[#This Row],[Full Names]]))</f>
        <v>Paul</v>
      </c>
      <c r="E22" s="4">
        <v>35161</v>
      </c>
      <c r="F22" s="3">
        <f>YEAR(Table3[[#This Row],[Date of Birth]])</f>
        <v>1996</v>
      </c>
      <c r="G22" s="6">
        <f>2025-Table3[[#This Row],[year_of_birth]]</f>
        <v>29</v>
      </c>
      <c r="H22" s="7" t="s">
        <v>219</v>
      </c>
    </row>
    <row r="23" spans="1:8" x14ac:dyDescent="0.35">
      <c r="A23" s="3">
        <v>22</v>
      </c>
      <c r="B23" s="3" t="s">
        <v>163</v>
      </c>
      <c r="C23" s="3" t="str">
        <f>LEFT(Table3[[#This Row],[Full Names]],FIND(" ",Table3[[#This Row],[Full Names]]))</f>
        <v xml:space="preserve">Keshav </v>
      </c>
      <c r="D23" s="3" t="str">
        <f>RIGHT(Table3[[#This Row],[Full Names]],LEN(Table3[[#This Row],[Full Names]])-FIND(" ",Table3[[#This Row],[Full Names]]))</f>
        <v>Sethi</v>
      </c>
      <c r="E23" s="4">
        <v>31808</v>
      </c>
      <c r="F23" s="3">
        <f>YEAR(Table3[[#This Row],[Date of Birth]])</f>
        <v>1987</v>
      </c>
      <c r="G23" s="6">
        <f>2025-Table3[[#This Row],[year_of_birth]]</f>
        <v>38</v>
      </c>
      <c r="H23" s="7" t="s">
        <v>220</v>
      </c>
    </row>
    <row r="24" spans="1:8" x14ac:dyDescent="0.35">
      <c r="A24" s="3">
        <v>23</v>
      </c>
      <c r="B24" s="3" t="s">
        <v>164</v>
      </c>
      <c r="C24" s="3" t="str">
        <f>LEFT(Table3[[#This Row],[Full Names]],FIND(" ",Table3[[#This Row],[Full Names]]))</f>
        <v xml:space="preserve">Manasi </v>
      </c>
      <c r="D24" s="3" t="str">
        <f>RIGHT(Table3[[#This Row],[Full Names]],LEN(Table3[[#This Row],[Full Names]])-FIND(" ",Table3[[#This Row],[Full Names]]))</f>
        <v>Kulkarni</v>
      </c>
      <c r="E24" s="4">
        <v>33805</v>
      </c>
      <c r="F24" s="3">
        <f>YEAR(Table3[[#This Row],[Date of Birth]])</f>
        <v>1992</v>
      </c>
      <c r="G24" s="6">
        <f>2025-Table3[[#This Row],[year_of_birth]]</f>
        <v>33</v>
      </c>
      <c r="H24" s="7" t="s">
        <v>221</v>
      </c>
    </row>
    <row r="25" spans="1:8" x14ac:dyDescent="0.35">
      <c r="A25" s="3">
        <v>24</v>
      </c>
      <c r="B25" s="3" t="s">
        <v>165</v>
      </c>
      <c r="C25" s="3" t="str">
        <f>LEFT(Table3[[#This Row],[Full Names]],FIND(" ",Table3[[#This Row],[Full Names]]))</f>
        <v xml:space="preserve">Harshit </v>
      </c>
      <c r="D25" s="3" t="str">
        <f>RIGHT(Table3[[#This Row],[Full Names]],LEN(Table3[[#This Row],[Full Names]])-FIND(" ",Table3[[#This Row],[Full Names]]))</f>
        <v>Pandey</v>
      </c>
      <c r="E25" s="4">
        <v>34646</v>
      </c>
      <c r="F25" s="3">
        <f>YEAR(Table3[[#This Row],[Date of Birth]])</f>
        <v>1994</v>
      </c>
      <c r="G25" s="6">
        <f>2025-Table3[[#This Row],[year_of_birth]]</f>
        <v>31</v>
      </c>
      <c r="H25" s="7" t="s">
        <v>222</v>
      </c>
    </row>
    <row r="26" spans="1:8" x14ac:dyDescent="0.35">
      <c r="A26" s="3">
        <v>25</v>
      </c>
      <c r="B26" s="3" t="s">
        <v>166</v>
      </c>
      <c r="C26" s="3" t="str">
        <f>LEFT(Table3[[#This Row],[Full Names]],FIND(" ",Table3[[#This Row],[Full Names]]))</f>
        <v xml:space="preserve">Kriti </v>
      </c>
      <c r="D26" s="3" t="str">
        <f>RIGHT(Table3[[#This Row],[Full Names]],LEN(Table3[[#This Row],[Full Names]])-FIND(" ",Table3[[#This Row],[Full Names]]))</f>
        <v>Jaiswal</v>
      </c>
      <c r="E26" s="4">
        <v>34054</v>
      </c>
      <c r="F26" s="3">
        <f>YEAR(Table3[[#This Row],[Date of Birth]])</f>
        <v>1993</v>
      </c>
      <c r="G26" s="6">
        <f>2025-Table3[[#This Row],[year_of_birth]]</f>
        <v>32</v>
      </c>
      <c r="H26" s="7" t="s">
        <v>223</v>
      </c>
    </row>
    <row r="27" spans="1:8" x14ac:dyDescent="0.35">
      <c r="A27" s="3">
        <v>26</v>
      </c>
      <c r="B27" s="3" t="s">
        <v>167</v>
      </c>
      <c r="C27" s="3" t="str">
        <f>LEFT(Table3[[#This Row],[Full Names]],FIND(" ",Table3[[#This Row],[Full Names]]))</f>
        <v xml:space="preserve">Ishaan </v>
      </c>
      <c r="D27" s="3" t="str">
        <f>RIGHT(Table3[[#This Row],[Full Names]],LEN(Table3[[#This Row],[Full Names]])-FIND(" ",Table3[[#This Row],[Full Names]]))</f>
        <v>Sharma</v>
      </c>
      <c r="E27" s="4">
        <v>32368</v>
      </c>
      <c r="F27" s="3">
        <f>YEAR(Table3[[#This Row],[Date of Birth]])</f>
        <v>1988</v>
      </c>
      <c r="G27" s="6">
        <f>2025-Table3[[#This Row],[year_of_birth]]</f>
        <v>37</v>
      </c>
      <c r="H27" s="7" t="s">
        <v>224</v>
      </c>
    </row>
    <row r="28" spans="1:8" x14ac:dyDescent="0.35">
      <c r="A28" s="3">
        <v>27</v>
      </c>
      <c r="B28" s="3" t="s">
        <v>168</v>
      </c>
      <c r="C28" s="3" t="str">
        <f>LEFT(Table3[[#This Row],[Full Names]],FIND(" ",Table3[[#This Row],[Full Names]]))</f>
        <v xml:space="preserve">Taniya </v>
      </c>
      <c r="D28" s="3" t="str">
        <f>RIGHT(Table3[[#This Row],[Full Names]],LEN(Table3[[#This Row],[Full Names]])-FIND(" ",Table3[[#This Row],[Full Names]]))</f>
        <v>Abraham</v>
      </c>
      <c r="E28" s="4">
        <v>35465</v>
      </c>
      <c r="F28" s="3">
        <f>YEAR(Table3[[#This Row],[Date of Birth]])</f>
        <v>1997</v>
      </c>
      <c r="G28" s="6">
        <f>2025-Table3[[#This Row],[year_of_birth]]</f>
        <v>28</v>
      </c>
      <c r="H28" s="8" t="s">
        <v>206</v>
      </c>
    </row>
    <row r="29" spans="1:8" x14ac:dyDescent="0.35">
      <c r="A29" s="3">
        <v>28</v>
      </c>
      <c r="B29" s="3" t="s">
        <v>169</v>
      </c>
      <c r="C29" s="3" t="str">
        <f>LEFT(Table3[[#This Row],[Full Names]],FIND(" ",Table3[[#This Row],[Full Names]]))</f>
        <v xml:space="preserve">Nikhil </v>
      </c>
      <c r="D29" s="3" t="str">
        <f>RIGHT(Table3[[#This Row],[Full Names]],LEN(Table3[[#This Row],[Full Names]])-FIND(" ",Table3[[#This Row],[Full Names]]))</f>
        <v>Bose</v>
      </c>
      <c r="E29" s="4">
        <v>33046</v>
      </c>
      <c r="F29" s="3">
        <f>YEAR(Table3[[#This Row],[Date of Birth]])</f>
        <v>1990</v>
      </c>
      <c r="G29" s="6">
        <f>2025-Table3[[#This Row],[year_of_birth]]</f>
        <v>35</v>
      </c>
      <c r="H29" s="7" t="s">
        <v>225</v>
      </c>
    </row>
    <row r="30" spans="1:8" x14ac:dyDescent="0.35">
      <c r="A30" s="3">
        <v>29</v>
      </c>
      <c r="B30" s="3" t="s">
        <v>170</v>
      </c>
      <c r="C30" s="3" t="str">
        <f>LEFT(Table3[[#This Row],[Full Names]],FIND(" ",Table3[[#This Row],[Full Names]]))</f>
        <v xml:space="preserve">Sana </v>
      </c>
      <c r="D30" s="3" t="str">
        <f>RIGHT(Table3[[#This Row],[Full Names]],LEN(Table3[[#This Row],[Full Names]])-FIND(" ",Table3[[#This Row],[Full Names]]))</f>
        <v>Merchant</v>
      </c>
      <c r="E30" s="4">
        <v>34318</v>
      </c>
      <c r="F30" s="3">
        <f>YEAR(Table3[[#This Row],[Date of Birth]])</f>
        <v>1993</v>
      </c>
      <c r="G30" s="6">
        <f>2025-Table3[[#This Row],[year_of_birth]]</f>
        <v>32</v>
      </c>
      <c r="H30" s="7" t="s">
        <v>226</v>
      </c>
    </row>
    <row r="31" spans="1:8" x14ac:dyDescent="0.35">
      <c r="A31" s="3">
        <v>30</v>
      </c>
      <c r="B31" s="3" t="s">
        <v>171</v>
      </c>
      <c r="C31" s="3" t="str">
        <f>LEFT(Table3[[#This Row],[Full Names]],FIND(" ",Table3[[#This Row],[Full Names]]))</f>
        <v xml:space="preserve">Aditya </v>
      </c>
      <c r="D31" s="3" t="str">
        <f>RIGHT(Table3[[#This Row],[Full Names]],LEN(Table3[[#This Row],[Full Names]])-FIND(" ",Table3[[#This Row],[Full Names]]))</f>
        <v>Rao</v>
      </c>
      <c r="E31" s="4">
        <v>32029</v>
      </c>
      <c r="F31" s="3">
        <f>YEAR(Table3[[#This Row],[Date of Birth]])</f>
        <v>1987</v>
      </c>
      <c r="G31" s="6">
        <f>2025-Table3[[#This Row],[year_of_birth]]</f>
        <v>38</v>
      </c>
      <c r="H31" s="7" t="s">
        <v>227</v>
      </c>
    </row>
    <row r="32" spans="1:8" x14ac:dyDescent="0.35">
      <c r="A32" s="3">
        <v>31</v>
      </c>
      <c r="B32" s="3" t="s">
        <v>172</v>
      </c>
      <c r="C32" s="3" t="str">
        <f>LEFT(Table3[[#This Row],[Full Names]],FIND(" ",Table3[[#This Row],[Full Names]]))</f>
        <v xml:space="preserve">Shreya </v>
      </c>
      <c r="D32" s="3" t="str">
        <f>RIGHT(Table3[[#This Row],[Full Names]],LEN(Table3[[#This Row],[Full Names]])-FIND(" ",Table3[[#This Row],[Full Names]]))</f>
        <v>D’Souza</v>
      </c>
      <c r="E32" s="4">
        <v>34729</v>
      </c>
      <c r="F32" s="3">
        <f>YEAR(Table3[[#This Row],[Date of Birth]])</f>
        <v>1995</v>
      </c>
      <c r="G32" s="6">
        <f>2025-Table3[[#This Row],[year_of_birth]]</f>
        <v>30</v>
      </c>
      <c r="H32" s="7" t="s">
        <v>228</v>
      </c>
    </row>
    <row r="33" spans="1:8" x14ac:dyDescent="0.35">
      <c r="A33" s="3">
        <v>32</v>
      </c>
      <c r="B33" s="3" t="s">
        <v>173</v>
      </c>
      <c r="C33" s="3" t="str">
        <f>LEFT(Table3[[#This Row],[Full Names]],FIND(" ",Table3[[#This Row],[Full Names]]))</f>
        <v xml:space="preserve">Tejas </v>
      </c>
      <c r="D33" s="3" t="str">
        <f>RIGHT(Table3[[#This Row],[Full Names]],LEN(Table3[[#This Row],[Full Names]])-FIND(" ",Table3[[#This Row],[Full Names]]))</f>
        <v>Khanna</v>
      </c>
      <c r="E33" s="4">
        <v>33352</v>
      </c>
      <c r="F33" s="3">
        <f>YEAR(Table3[[#This Row],[Date of Birth]])</f>
        <v>1991</v>
      </c>
      <c r="G33" s="6">
        <f>2025-Table3[[#This Row],[year_of_birth]]</f>
        <v>34</v>
      </c>
      <c r="H33" s="7" t="s">
        <v>229</v>
      </c>
    </row>
    <row r="34" spans="1:8" x14ac:dyDescent="0.35">
      <c r="A34" s="3">
        <v>33</v>
      </c>
      <c r="B34" s="3" t="s">
        <v>174</v>
      </c>
      <c r="C34" s="3" t="str">
        <f>LEFT(Table3[[#This Row],[Full Names]],FIND(" ",Table3[[#This Row],[Full Names]]))</f>
        <v xml:space="preserve">Ritu </v>
      </c>
      <c r="D34" s="3" t="str">
        <f>RIGHT(Table3[[#This Row],[Full Names]],LEN(Table3[[#This Row],[Full Names]])-FIND(" ",Table3[[#This Row],[Full Names]]))</f>
        <v>Chauhan</v>
      </c>
      <c r="E34" s="4">
        <v>33896</v>
      </c>
      <c r="F34" s="3">
        <f>YEAR(Table3[[#This Row],[Date of Birth]])</f>
        <v>1992</v>
      </c>
      <c r="G34" s="6">
        <f>2025-Table3[[#This Row],[year_of_birth]]</f>
        <v>33</v>
      </c>
      <c r="H34" s="7" t="s">
        <v>230</v>
      </c>
    </row>
    <row r="35" spans="1:8" x14ac:dyDescent="0.35">
      <c r="A35" s="3">
        <v>34</v>
      </c>
      <c r="B35" s="3" t="s">
        <v>175</v>
      </c>
      <c r="C35" s="3" t="str">
        <f>LEFT(Table3[[#This Row],[Full Names]],FIND(" ",Table3[[#This Row],[Full Names]]))</f>
        <v xml:space="preserve">Yashveer </v>
      </c>
      <c r="D35" s="3" t="str">
        <f>RIGHT(Table3[[#This Row],[Full Names]],LEN(Table3[[#This Row],[Full Names]])-FIND(" ",Table3[[#This Row],[Full Names]]))</f>
        <v>Kanojia</v>
      </c>
      <c r="E35" s="4">
        <v>34492</v>
      </c>
      <c r="F35" s="3">
        <f>YEAR(Table3[[#This Row],[Date of Birth]])</f>
        <v>1994</v>
      </c>
      <c r="G35" s="6">
        <f>2025-Table3[[#This Row],[year_of_birth]]</f>
        <v>31</v>
      </c>
      <c r="H35" s="7" t="s">
        <v>231</v>
      </c>
    </row>
    <row r="36" spans="1:8" x14ac:dyDescent="0.35">
      <c r="A36" s="3">
        <v>35</v>
      </c>
      <c r="B36" s="3" t="s">
        <v>176</v>
      </c>
      <c r="C36" s="3" t="str">
        <f>LEFT(Table3[[#This Row],[Full Names]],FIND(" ",Table3[[#This Row],[Full Names]]))</f>
        <v xml:space="preserve">Neelam </v>
      </c>
      <c r="D36" s="3" t="str">
        <f>RIGHT(Table3[[#This Row],[Full Names]],LEN(Table3[[#This Row],[Full Names]])-FIND(" ",Table3[[#This Row],[Full Names]]))</f>
        <v>Joshi</v>
      </c>
      <c r="E36" s="4">
        <v>32578</v>
      </c>
      <c r="F36" s="3">
        <f>YEAR(Table3[[#This Row],[Date of Birth]])</f>
        <v>1989</v>
      </c>
      <c r="G36" s="6">
        <f>2025-Table3[[#This Row],[year_of_birth]]</f>
        <v>36</v>
      </c>
      <c r="H36" s="8" t="s">
        <v>206</v>
      </c>
    </row>
    <row r="37" spans="1:8" x14ac:dyDescent="0.35">
      <c r="A37" s="3">
        <v>36</v>
      </c>
      <c r="B37" s="3" t="s">
        <v>177</v>
      </c>
      <c r="C37" s="3" t="str">
        <f>LEFT(Table3[[#This Row],[Full Names]],FIND(" ",Table3[[#This Row],[Full Names]]))</f>
        <v xml:space="preserve">Milan </v>
      </c>
      <c r="D37" s="3" t="str">
        <f>RIGHT(Table3[[#This Row],[Full Names]],LEN(Table3[[#This Row],[Full Names]])-FIND(" ",Table3[[#This Row],[Full Names]]))</f>
        <v>Solanki</v>
      </c>
      <c r="E37" s="4">
        <v>33113</v>
      </c>
      <c r="F37" s="3">
        <f>YEAR(Table3[[#This Row],[Date of Birth]])</f>
        <v>1990</v>
      </c>
      <c r="G37" s="6">
        <f>2025-Table3[[#This Row],[year_of_birth]]</f>
        <v>35</v>
      </c>
      <c r="H37" s="7" t="s">
        <v>232</v>
      </c>
    </row>
    <row r="38" spans="1:8" x14ac:dyDescent="0.35">
      <c r="A38" s="3">
        <v>37</v>
      </c>
      <c r="B38" s="3" t="s">
        <v>178</v>
      </c>
      <c r="C38" s="3" t="str">
        <f>LEFT(Table3[[#This Row],[Full Names]],FIND(" ",Table3[[#This Row],[Full Names]]))</f>
        <v xml:space="preserve">Pritam </v>
      </c>
      <c r="D38" s="3" t="str">
        <f>RIGHT(Table3[[#This Row],[Full Names]],LEN(Table3[[#This Row],[Full Names]])-FIND(" ",Table3[[#This Row],[Full Names]]))</f>
        <v>Gaikwad</v>
      </c>
      <c r="E38" s="4">
        <v>35190</v>
      </c>
      <c r="F38" s="3">
        <f>YEAR(Table3[[#This Row],[Date of Birth]])</f>
        <v>1996</v>
      </c>
      <c r="G38" s="6">
        <f>2025-Table3[[#This Row],[year_of_birth]]</f>
        <v>29</v>
      </c>
      <c r="H38" s="7" t="s">
        <v>233</v>
      </c>
    </row>
    <row r="39" spans="1:8" x14ac:dyDescent="0.35">
      <c r="A39" s="3">
        <v>38</v>
      </c>
      <c r="B39" s="3" t="s">
        <v>179</v>
      </c>
      <c r="C39" s="3" t="str">
        <f>LEFT(Table3[[#This Row],[Full Names]],FIND(" ",Table3[[#This Row],[Full Names]]))</f>
        <v xml:space="preserve">Roshni </v>
      </c>
      <c r="D39" s="3" t="str">
        <f>RIGHT(Table3[[#This Row],[Full Names]],LEN(Table3[[#This Row],[Full Names]])-FIND(" ",Table3[[#This Row],[Full Names]]))</f>
        <v>Fernandes</v>
      </c>
      <c r="E39" s="4">
        <v>34289</v>
      </c>
      <c r="F39" s="3">
        <f>YEAR(Table3[[#This Row],[Date of Birth]])</f>
        <v>1993</v>
      </c>
      <c r="G39" s="6">
        <f>2025-Table3[[#This Row],[year_of_birth]]</f>
        <v>32</v>
      </c>
      <c r="H39" s="7" t="s">
        <v>234</v>
      </c>
    </row>
    <row r="40" spans="1:8" x14ac:dyDescent="0.35">
      <c r="A40" s="3">
        <v>39</v>
      </c>
      <c r="B40" s="3" t="s">
        <v>180</v>
      </c>
      <c r="C40" s="3" t="str">
        <f>LEFT(Table3[[#This Row],[Full Names]],FIND(" ",Table3[[#This Row],[Full Names]]))</f>
        <v xml:space="preserve">Dhruv </v>
      </c>
      <c r="D40" s="3" t="str">
        <f>RIGHT(Table3[[#This Row],[Full Names]],LEN(Table3[[#This Row],[Full Names]])-FIND(" ",Table3[[#This Row],[Full Names]]))</f>
        <v>Bansal</v>
      </c>
      <c r="E40" s="4">
        <v>32185</v>
      </c>
      <c r="F40" s="3">
        <f>YEAR(Table3[[#This Row],[Date of Birth]])</f>
        <v>1988</v>
      </c>
      <c r="G40" s="6">
        <f>2025-Table3[[#This Row],[year_of_birth]]</f>
        <v>37</v>
      </c>
      <c r="H40" s="7" t="s">
        <v>235</v>
      </c>
    </row>
    <row r="41" spans="1:8" x14ac:dyDescent="0.35">
      <c r="A41" s="3">
        <v>40</v>
      </c>
      <c r="B41" s="3" t="s">
        <v>181</v>
      </c>
      <c r="C41" s="3" t="str">
        <f>LEFT(Table3[[#This Row],[Full Names]],FIND(" ",Table3[[#This Row],[Full Names]]))</f>
        <v xml:space="preserve">Naina </v>
      </c>
      <c r="D41" s="3" t="str">
        <f>RIGHT(Table3[[#This Row],[Full Names]],LEN(Table3[[#This Row],[Full Names]])-FIND(" ",Table3[[#This Row],[Full Names]]))</f>
        <v>Chib</v>
      </c>
      <c r="E41" s="4">
        <v>34971</v>
      </c>
      <c r="F41" s="3">
        <f>YEAR(Table3[[#This Row],[Date of Birth]])</f>
        <v>1995</v>
      </c>
      <c r="G41" s="6">
        <f>2025-Table3[[#This Row],[year_of_birth]]</f>
        <v>30</v>
      </c>
      <c r="H41" s="7" t="s">
        <v>236</v>
      </c>
    </row>
    <row r="42" spans="1:8" x14ac:dyDescent="0.35">
      <c r="A42" s="3">
        <v>41</v>
      </c>
      <c r="B42" s="3" t="s">
        <v>182</v>
      </c>
      <c r="C42" s="3" t="str">
        <f>LEFT(Table3[[#This Row],[Full Names]],FIND(" ",Table3[[#This Row],[Full Names]]))</f>
        <v xml:space="preserve">Zoya </v>
      </c>
      <c r="D42" s="3" t="str">
        <f>RIGHT(Table3[[#This Row],[Full Names]],LEN(Table3[[#This Row],[Full Names]])-FIND(" ",Table3[[#This Row],[Full Names]]))</f>
        <v>Khan</v>
      </c>
      <c r="E42" s="4">
        <v>34335</v>
      </c>
      <c r="F42" s="3">
        <f>YEAR(Table3[[#This Row],[Date of Birth]])</f>
        <v>1994</v>
      </c>
      <c r="G42" s="6">
        <f>2025-Table3[[#This Row],[year_of_birth]]</f>
        <v>31</v>
      </c>
      <c r="H42" s="7" t="s">
        <v>237</v>
      </c>
    </row>
    <row r="43" spans="1:8" x14ac:dyDescent="0.35">
      <c r="A43" s="3">
        <v>42</v>
      </c>
      <c r="B43" s="3" t="s">
        <v>183</v>
      </c>
      <c r="C43" s="3" t="str">
        <f>LEFT(Table3[[#This Row],[Full Names]],FIND(" ",Table3[[#This Row],[Full Names]]))</f>
        <v xml:space="preserve">Kabir </v>
      </c>
      <c r="D43" s="3" t="str">
        <f>RIGHT(Table3[[#This Row],[Full Names]],LEN(Table3[[#This Row],[Full Names]])-FIND(" ",Table3[[#This Row],[Full Names]]))</f>
        <v>Qureshi</v>
      </c>
      <c r="E43" s="4">
        <v>33437</v>
      </c>
      <c r="F43" s="3">
        <f>YEAR(Table3[[#This Row],[Date of Birth]])</f>
        <v>1991</v>
      </c>
      <c r="G43" s="6">
        <f>2025-Table3[[#This Row],[year_of_birth]]</f>
        <v>34</v>
      </c>
      <c r="H43" s="7" t="s">
        <v>238</v>
      </c>
    </row>
    <row r="44" spans="1:8" x14ac:dyDescent="0.35">
      <c r="A44" s="3">
        <v>43</v>
      </c>
      <c r="B44" s="3" t="s">
        <v>184</v>
      </c>
      <c r="C44" s="3" t="str">
        <f>LEFT(Table3[[#This Row],[Full Names]],FIND(" ",Table3[[#This Row],[Full Names]]))</f>
        <v xml:space="preserve">Aradhya </v>
      </c>
      <c r="D44" s="3" t="str">
        <f>RIGHT(Table3[[#This Row],[Full Names]],LEN(Table3[[#This Row],[Full Names]])-FIND(" ",Table3[[#This Row],[Full Names]]))</f>
        <v>Pillai</v>
      </c>
      <c r="E44" s="4">
        <v>35360</v>
      </c>
      <c r="F44" s="3">
        <f>YEAR(Table3[[#This Row],[Date of Birth]])</f>
        <v>1996</v>
      </c>
      <c r="G44" s="6">
        <f>2025-Table3[[#This Row],[year_of_birth]]</f>
        <v>29</v>
      </c>
      <c r="H44" s="7" t="s">
        <v>239</v>
      </c>
    </row>
    <row r="45" spans="1:8" x14ac:dyDescent="0.35">
      <c r="A45" s="3">
        <v>44</v>
      </c>
      <c r="B45" s="3" t="s">
        <v>185</v>
      </c>
      <c r="C45" s="3" t="str">
        <f>LEFT(Table3[[#This Row],[Full Names]],FIND(" ",Table3[[#This Row],[Full Names]]))</f>
        <v xml:space="preserve">Jayant </v>
      </c>
      <c r="D45" s="3" t="str">
        <f>RIGHT(Table3[[#This Row],[Full Names]],LEN(Table3[[#This Row],[Full Names]])-FIND(" ",Table3[[#This Row],[Full Names]]))</f>
        <v>Khatri</v>
      </c>
      <c r="E45" s="4">
        <v>31881</v>
      </c>
      <c r="F45" s="3">
        <f>YEAR(Table3[[#This Row],[Date of Birth]])</f>
        <v>1987</v>
      </c>
      <c r="G45" s="6">
        <f>2025-Table3[[#This Row],[year_of_birth]]</f>
        <v>38</v>
      </c>
      <c r="H45" s="7" t="s">
        <v>240</v>
      </c>
    </row>
    <row r="46" spans="1:8" x14ac:dyDescent="0.35">
      <c r="A46" s="3">
        <v>45</v>
      </c>
      <c r="B46" s="3" t="s">
        <v>186</v>
      </c>
      <c r="C46" s="3" t="str">
        <f>LEFT(Table3[[#This Row],[Full Names]],FIND(" ",Table3[[#This Row],[Full Names]]))</f>
        <v xml:space="preserve">Simran </v>
      </c>
      <c r="D46" s="3" t="str">
        <f>RIGHT(Table3[[#This Row],[Full Names]],LEN(Table3[[#This Row],[Full Names]])-FIND(" ",Table3[[#This Row],[Full Names]]))</f>
        <v>Oberoi</v>
      </c>
      <c r="E46" s="4">
        <v>35042</v>
      </c>
      <c r="F46" s="3">
        <f>YEAR(Table3[[#This Row],[Date of Birth]])</f>
        <v>1995</v>
      </c>
      <c r="G46" s="6">
        <f>2025-Table3[[#This Row],[year_of_birth]]</f>
        <v>30</v>
      </c>
      <c r="H46" s="8" t="s">
        <v>206</v>
      </c>
    </row>
    <row r="47" spans="1:8" x14ac:dyDescent="0.35">
      <c r="A47" s="3">
        <v>46</v>
      </c>
      <c r="B47" s="3" t="s">
        <v>187</v>
      </c>
      <c r="C47" s="3" t="str">
        <f>LEFT(Table3[[#This Row],[Full Names]],FIND(" ",Table3[[#This Row],[Full Names]]))</f>
        <v xml:space="preserve">Rakesh </v>
      </c>
      <c r="D47" s="3" t="str">
        <f>RIGHT(Table3[[#This Row],[Full Names]],LEN(Table3[[#This Row],[Full Names]])-FIND(" ",Table3[[#This Row],[Full Names]]))</f>
        <v>Dutta</v>
      </c>
      <c r="E47" s="4">
        <v>31566</v>
      </c>
      <c r="F47" s="3">
        <f>YEAR(Table3[[#This Row],[Date of Birth]])</f>
        <v>1986</v>
      </c>
      <c r="G47" s="6">
        <f>2025-Table3[[#This Row],[year_of_birth]]</f>
        <v>39</v>
      </c>
      <c r="H47" s="7" t="s">
        <v>241</v>
      </c>
    </row>
    <row r="48" spans="1:8" x14ac:dyDescent="0.35">
      <c r="A48" s="3">
        <v>47</v>
      </c>
      <c r="B48" s="3" t="s">
        <v>188</v>
      </c>
      <c r="C48" s="3" t="str">
        <f>LEFT(Table3[[#This Row],[Full Names]],FIND(" ",Table3[[#This Row],[Full Names]]))</f>
        <v xml:space="preserve">Leena </v>
      </c>
      <c r="D48" s="3" t="str">
        <f>RIGHT(Table3[[#This Row],[Full Names]],LEN(Table3[[#This Row],[Full Names]])-FIND(" ",Table3[[#This Row],[Full Names]]))</f>
        <v>Madan</v>
      </c>
      <c r="E48" s="4">
        <v>33843</v>
      </c>
      <c r="F48" s="3">
        <f>YEAR(Table3[[#This Row],[Date of Birth]])</f>
        <v>1992</v>
      </c>
      <c r="G48" s="6">
        <f>2025-Table3[[#This Row],[year_of_birth]]</f>
        <v>33</v>
      </c>
      <c r="H48" s="7" t="s">
        <v>242</v>
      </c>
    </row>
    <row r="49" spans="1:8" x14ac:dyDescent="0.35">
      <c r="A49" s="3">
        <v>48</v>
      </c>
      <c r="B49" s="3" t="s">
        <v>189</v>
      </c>
      <c r="C49" s="3" t="str">
        <f>LEFT(Table3[[#This Row],[Full Names]],FIND(" ",Table3[[#This Row],[Full Names]]))</f>
        <v xml:space="preserve">Pushkar </v>
      </c>
      <c r="D49" s="3" t="str">
        <f>RIGHT(Table3[[#This Row],[Full Names]],LEN(Table3[[#This Row],[Full Names]])-FIND(" ",Table3[[#This Row],[Full Names]]))</f>
        <v>Vaidya</v>
      </c>
      <c r="E49" s="4">
        <v>32890</v>
      </c>
      <c r="F49" s="3">
        <f>YEAR(Table3[[#This Row],[Date of Birth]])</f>
        <v>1990</v>
      </c>
      <c r="G49" s="6">
        <f>2025-Table3[[#This Row],[year_of_birth]]</f>
        <v>35</v>
      </c>
      <c r="H49" s="7" t="s">
        <v>243</v>
      </c>
    </row>
    <row r="50" spans="1:8" x14ac:dyDescent="0.35">
      <c r="A50" s="3">
        <v>49</v>
      </c>
      <c r="B50" s="3" t="s">
        <v>190</v>
      </c>
      <c r="C50" s="3" t="str">
        <f>LEFT(Table3[[#This Row],[Full Names]],FIND(" ",Table3[[#This Row],[Full Names]]))</f>
        <v xml:space="preserve">Natasha </v>
      </c>
      <c r="D50" s="3" t="str">
        <f>RIGHT(Table3[[#This Row],[Full Names]],LEN(Table3[[#This Row],[Full Names]])-FIND(" ",Table3[[#This Row],[Full Names]]))</f>
        <v>Gokhale</v>
      </c>
      <c r="E50" s="4">
        <v>34475</v>
      </c>
      <c r="F50" s="3">
        <f>YEAR(Table3[[#This Row],[Date of Birth]])</f>
        <v>1994</v>
      </c>
      <c r="G50" s="6">
        <f>2025-Table3[[#This Row],[year_of_birth]]</f>
        <v>31</v>
      </c>
      <c r="H50" s="8" t="s">
        <v>206</v>
      </c>
    </row>
    <row r="51" spans="1:8" x14ac:dyDescent="0.35">
      <c r="A51" s="3">
        <v>50</v>
      </c>
      <c r="B51" s="3" t="s">
        <v>191</v>
      </c>
      <c r="C51" s="3" t="str">
        <f>LEFT(Table3[[#This Row],[Full Names]],FIND(" ",Table3[[#This Row],[Full Names]]))</f>
        <v xml:space="preserve">Amit </v>
      </c>
      <c r="D51" s="3" t="str">
        <f>RIGHT(Table3[[#This Row],[Full Names]],LEN(Table3[[#This Row],[Full Names]])-FIND(" ",Table3[[#This Row],[Full Names]]))</f>
        <v>Trivedi</v>
      </c>
      <c r="E51" s="4">
        <v>32455</v>
      </c>
      <c r="F51" s="3">
        <f>YEAR(Table3[[#This Row],[Date of Birth]])</f>
        <v>1988</v>
      </c>
      <c r="G51" s="6">
        <f>2025-Table3[[#This Row],[year_of_birth]]</f>
        <v>37</v>
      </c>
      <c r="H51" s="7" t="s">
        <v>244</v>
      </c>
    </row>
  </sheetData>
  <hyperlinks>
    <hyperlink ref="H2" r:id="rId1" display="mailto:arjun.mehta@company.com" xr:uid="{FDDAAE48-A60E-48D4-8F6A-88980AFC02FC}"/>
    <hyperlink ref="H3" r:id="rId2" display="mailto:rohan.gupta@company.com" xr:uid="{C949AA02-69A4-49F4-B2EB-69C12BDEF4BC}"/>
    <hyperlink ref="H4" r:id="rId3" display="mailto:sagar.deshmukh@company.com" xr:uid="{43AB4EAF-BB20-477E-AF69-CF6326714266}"/>
    <hyperlink ref="H5" r:id="rId4" display="mailto:neha.kulkarni@company.com" xr:uid="{00487350-9FE3-45D2-97E5-0AA05CF2CFD8}"/>
    <hyperlink ref="H6" r:id="rId5" display="mailto:pooja.sharma@company.com" xr:uid="{E3F61949-BB37-4FBD-98FB-8ABB8CCD4696}"/>
    <hyperlink ref="H7" r:id="rId6" display="mailto:kiran.rajput@company.com" xr:uid="{F13EC4F3-4E59-4EAC-8836-0A20433077FA}"/>
    <hyperlink ref="H9" r:id="rId7" display="mailto:varun.chatterjee@company.com" xr:uid="{D5A6A468-D533-4C32-8C3F-82D3D6160009}"/>
    <hyperlink ref="H10" r:id="rId8" display="mailto:meera.ramaswamy@company.com" xr:uid="{A02FA8F6-4E90-4A7B-B1D1-386B8C2DDBB2}"/>
    <hyperlink ref="H11" r:id="rId9" display="mailto:sanjay.bhatt@company.com" xr:uid="{74E21FFE-04F5-43C6-90AA-D9298086359D}"/>
    <hyperlink ref="H13" r:id="rId10" display="mailto:dev.malhotra@company.com" xr:uid="{D72BAB8C-5068-4C9C-9255-43DD401F4F2A}"/>
    <hyperlink ref="H14" r:id="rId11" display="mailto:shruti.verma@company.com" xr:uid="{F1EFBE60-8A64-41A3-BD0E-213024913915}"/>
    <hyperlink ref="H15" r:id="rId12" display="mailto:tanmay.saxena@company.com" xr:uid="{4D09DD63-5664-4B95-9164-8739B21565A9}"/>
    <hyperlink ref="H16" r:id="rId13" display="mailto:aditi.menon@company.com" xr:uid="{21D8A106-A566-459B-A53E-ED1977FDB04D}"/>
    <hyperlink ref="H17" r:id="rId14" display="mailto:naveen.patil@company.com" xr:uid="{CF036671-54E2-482B-958E-229D5225883E}"/>
    <hyperlink ref="H18" r:id="rId15" display="mailto:kavya.shetty@company.com" xr:uid="{A4C2484B-DCD0-40EE-8FDB-93634A21461B}"/>
    <hyperlink ref="H19" r:id="rId16" display="mailto:siddharth.reddy@company.com" xr:uid="{4D4F81E3-3680-49F6-8052-14460E6CECDF}"/>
    <hyperlink ref="H20" r:id="rId17" display="mailto:rhea.joseph@company.com" xr:uid="{26046B23-9D27-4E56-A7FD-140FD261C2CE}"/>
    <hyperlink ref="H21" r:id="rId18" display="mailto:pranav.bhatia@company.com" xr:uid="{FCE82A01-8F9D-4956-926A-C6075A67B375}"/>
    <hyperlink ref="H22" r:id="rId19" display="mailto:ananya.paul@company.com" xr:uid="{6E8F9EAA-2985-47ED-839E-3FA79602FB32}"/>
    <hyperlink ref="H23" r:id="rId20" display="mailto:keshav.sethi@company.com" xr:uid="{8D96C3C9-4C28-4D55-AB29-5B3A27C2FA4F}"/>
    <hyperlink ref="H24" r:id="rId21" display="mailto:manasi.kulkarni@company.com" xr:uid="{B7EDCE3F-2CD0-4513-BA41-5C3A861A0487}"/>
    <hyperlink ref="H25" r:id="rId22" display="mailto:harshit.pandey@company.com" xr:uid="{5884443F-C494-452C-868C-FEAFB8D5C574}"/>
    <hyperlink ref="H26" r:id="rId23" display="mailto:kriti.jaiswal@company.com" xr:uid="{10AAF253-F34E-4EAC-8651-9595A41F1360}"/>
    <hyperlink ref="H27" r:id="rId24" display="mailto:ishaan.sharma@company.com" xr:uid="{197F0897-F657-4DA8-94BA-89873C67FD1D}"/>
    <hyperlink ref="H29" r:id="rId25" display="mailto:nikhil.bose@company.com" xr:uid="{2EBA4921-C838-4773-873C-BB4EDA7EB0F4}"/>
    <hyperlink ref="H30" r:id="rId26" display="mailto:sana.merchant@company.com" xr:uid="{D93C707C-A10C-4733-874F-03749D33D6F8}"/>
    <hyperlink ref="H31" r:id="rId27" display="mailto:aditya.rao@company.com" xr:uid="{82F5FF21-9D73-4A4A-9B70-2DBB8CCDDAB3}"/>
    <hyperlink ref="H32" r:id="rId28" display="mailto:shreya.dsouza@company.com" xr:uid="{63A87800-8DC5-4B9F-B420-A5B646956B20}"/>
    <hyperlink ref="H33" r:id="rId29" display="mailto:tejas.khanna@company.com" xr:uid="{5BE3FD31-33EB-42BD-9921-7615BD15AF58}"/>
    <hyperlink ref="H34" r:id="rId30" display="mailto:ritu.chauhan@company.com" xr:uid="{741474C3-5545-4608-8C9F-390EE0F052AB}"/>
    <hyperlink ref="H35" r:id="rId31" display="mailto:yashveer.kanojia@company.com" xr:uid="{E2E8DD65-96DA-4D4E-981A-0DA75D7567A6}"/>
    <hyperlink ref="H37" r:id="rId32" display="mailto:milan.solanki@company.com" xr:uid="{283114A3-BF20-43DD-9637-31590E329D39}"/>
    <hyperlink ref="H38" r:id="rId33" display="mailto:pritam.gaikwad@company.com" xr:uid="{77A991F1-8E45-49DD-9C8D-5B866AE410CC}"/>
    <hyperlink ref="H39" r:id="rId34" display="mailto:roshni.fernandes@company.com" xr:uid="{ABD09C35-7A8B-4414-8CD7-8C14BD4C53B5}"/>
    <hyperlink ref="H40" r:id="rId35" display="mailto:dhruv.bansal@company.com" xr:uid="{62770CB6-19EB-41B9-B62C-68910FD6F194}"/>
    <hyperlink ref="H41" r:id="rId36" display="mailto:naina.chib@company.com" xr:uid="{21F92C81-46A4-42D0-82C7-55D32C8135AB}"/>
    <hyperlink ref="H42" r:id="rId37" display="mailto:zoya.khan@company.com" xr:uid="{1FAB6C94-613E-4A9B-B29B-447712D5303A}"/>
    <hyperlink ref="H43" r:id="rId38" display="mailto:kabir.qureshi@company.com" xr:uid="{5D59E2EB-16B2-4AB0-B176-1A9FBD160BE2}"/>
    <hyperlink ref="H44" r:id="rId39" display="mailto:aradhya.pillai@company.com" xr:uid="{9FB03BAD-1F1B-4D2F-8579-415B5248F47E}"/>
    <hyperlink ref="H45" r:id="rId40" display="mailto:jayant.khatri@company.com" xr:uid="{E5FD63F8-5208-469F-8FCF-6822A93EED83}"/>
    <hyperlink ref="H47" r:id="rId41" display="mailto:rakesh.dutta@company.com" xr:uid="{8285FF3A-680B-4CA0-9BBD-5FCE339B68DD}"/>
    <hyperlink ref="H48" r:id="rId42" display="mailto:leena.madan@company.com" xr:uid="{00CE5730-E3DA-4ECA-9611-01620C0211E5}"/>
    <hyperlink ref="H49" r:id="rId43" display="mailto:pushkar.vaidya@company.com" xr:uid="{B01D2CE1-1C1A-40D2-935A-DED479E8CB80}"/>
    <hyperlink ref="H51" r:id="rId44" display="mailto:amit.trivedi@company.com" xr:uid="{09BC829D-3FE9-4274-92F3-FAE3F20818F2}"/>
  </hyperlinks>
  <pageMargins left="0.7" right="0.7" top="0.75" bottom="0.75" header="0.3" footer="0.3"/>
  <tableParts count="1">
    <tablePart r:id="rId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sales_ids</vt:lpstr>
      <vt:lpstr>Products</vt:lpstr>
      <vt:lpstr>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Neelappa Beedi</dc:creator>
  <cp:lastModifiedBy>3525</cp:lastModifiedBy>
  <dcterms:created xsi:type="dcterms:W3CDTF">2015-06-05T18:17:20Z</dcterms:created>
  <dcterms:modified xsi:type="dcterms:W3CDTF">2025-12-13T16:21:13Z</dcterms:modified>
</cp:coreProperties>
</file>