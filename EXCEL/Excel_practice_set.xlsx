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data-analytics-porfolio\data-analytics-portfolio\EXCEL\"/>
    </mc:Choice>
  </mc:AlternateContent>
  <xr:revisionPtr revIDLastSave="0" documentId="13_ncr:1_{9E4C4A4F-F72B-4355-A669-DAC805E18076}" xr6:coauthVersionLast="36" xr6:coauthVersionMax="36" xr10:uidLastSave="{00000000-0000-0000-0000-000000000000}"/>
  <bookViews>
    <workbookView xWindow="0" yWindow="0" windowWidth="22264" windowHeight="12642" activeTab="1" xr2:uid="{00000000-000D-0000-FFFF-FFFF00000000}"/>
  </bookViews>
  <sheets>
    <sheet name="sales_ids" sheetId="1" r:id="rId1"/>
    <sheet name="Products" sheetId="2" r:id="rId2"/>
    <sheet name="Names" sheetId="3" r:id="rId3"/>
    <sheet name="students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4" i="2" l="1"/>
  <c r="J25" i="2"/>
  <c r="J26" i="2"/>
  <c r="J27" i="2"/>
  <c r="J28" i="2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M23" i="3"/>
  <c r="M24" i="3"/>
  <c r="M25" i="3"/>
  <c r="M26" i="3"/>
  <c r="M27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F2" i="3" l="1"/>
  <c r="G2" i="3" s="1"/>
  <c r="F3" i="3"/>
  <c r="G3" i="3" s="1"/>
  <c r="F4" i="3"/>
  <c r="G4" i="3" s="1"/>
  <c r="F5" i="3"/>
  <c r="G5" i="3" s="1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 s="1"/>
  <c r="F17" i="3"/>
  <c r="G17" i="3" s="1"/>
  <c r="F18" i="3"/>
  <c r="G18" i="3" s="1"/>
  <c r="F19" i="3"/>
  <c r="G19" i="3" s="1"/>
  <c r="F20" i="3"/>
  <c r="G20" i="3" s="1"/>
  <c r="F21" i="3"/>
  <c r="G21" i="3" s="1"/>
  <c r="F22" i="3"/>
  <c r="G22" i="3" s="1"/>
  <c r="F23" i="3"/>
  <c r="G23" i="3" s="1"/>
  <c r="F24" i="3"/>
  <c r="G24" i="3" s="1"/>
  <c r="F25" i="3"/>
  <c r="G25" i="3" s="1"/>
  <c r="F26" i="3"/>
  <c r="G26" i="3" s="1"/>
  <c r="F27" i="3"/>
  <c r="G27" i="3" s="1"/>
  <c r="F28" i="3"/>
  <c r="G28" i="3" s="1"/>
  <c r="F29" i="3"/>
  <c r="G29" i="3" s="1"/>
  <c r="F30" i="3"/>
  <c r="G30" i="3" s="1"/>
  <c r="F31" i="3"/>
  <c r="G31" i="3" s="1"/>
  <c r="F32" i="3"/>
  <c r="G32" i="3" s="1"/>
  <c r="F33" i="3"/>
  <c r="G33" i="3" s="1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 s="1"/>
  <c r="F41" i="3"/>
  <c r="G41" i="3" s="1"/>
  <c r="F42" i="3"/>
  <c r="G42" i="3" s="1"/>
  <c r="F43" i="3"/>
  <c r="G43" i="3" s="1"/>
  <c r="F44" i="3"/>
  <c r="G44" i="3" s="1"/>
  <c r="F45" i="3"/>
  <c r="G45" i="3" s="1"/>
  <c r="F46" i="3"/>
  <c r="G46" i="3" s="1"/>
  <c r="F47" i="3"/>
  <c r="G47" i="3" s="1"/>
  <c r="F48" i="3"/>
  <c r="G48" i="3" s="1"/>
  <c r="F49" i="3"/>
  <c r="G49" i="3" s="1"/>
  <c r="F50" i="3"/>
  <c r="G50" i="3" s="1"/>
  <c r="F51" i="3"/>
  <c r="G51" i="3" s="1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</calcChain>
</file>

<file path=xl/sharedStrings.xml><?xml version="1.0" encoding="utf-8"?>
<sst xmlns="http://schemas.openxmlformats.org/spreadsheetml/2006/main" count="431" uniqueCount="408">
  <si>
    <t>sales_id</t>
  </si>
  <si>
    <t>SAL-001</t>
  </si>
  <si>
    <t>SAL-002</t>
  </si>
  <si>
    <t>SAL-003</t>
  </si>
  <si>
    <t>SAL-004</t>
  </si>
  <si>
    <t>SAL-005</t>
  </si>
  <si>
    <t>SAL-006</t>
  </si>
  <si>
    <t>SAL-007</t>
  </si>
  <si>
    <t>SAL-008</t>
  </si>
  <si>
    <t>SAL-009</t>
  </si>
  <si>
    <t>SAL-010</t>
  </si>
  <si>
    <t>SAL-011</t>
  </si>
  <si>
    <t>SAL-012</t>
  </si>
  <si>
    <t>SAL-013</t>
  </si>
  <si>
    <t>SAL-014</t>
  </si>
  <si>
    <t>SAL-015</t>
  </si>
  <si>
    <t>SAL-016</t>
  </si>
  <si>
    <t>SAL-017</t>
  </si>
  <si>
    <t>SAL-018</t>
  </si>
  <si>
    <t>SAL-019</t>
  </si>
  <si>
    <t>SAL-020</t>
  </si>
  <si>
    <t>SAL-021</t>
  </si>
  <si>
    <t>SAL-022</t>
  </si>
  <si>
    <t>SAL-023</t>
  </si>
  <si>
    <t>SAL-024</t>
  </si>
  <si>
    <t>SAL-025</t>
  </si>
  <si>
    <t>SAL-026</t>
  </si>
  <si>
    <t>SAL-027</t>
  </si>
  <si>
    <t>SAL-028</t>
  </si>
  <si>
    <t>SAL-029</t>
  </si>
  <si>
    <t>SAL-030</t>
  </si>
  <si>
    <t>SAL-031</t>
  </si>
  <si>
    <t>SAL-032</t>
  </si>
  <si>
    <t>SAL-033</t>
  </si>
  <si>
    <t>SAL-034</t>
  </si>
  <si>
    <t>SAL-035</t>
  </si>
  <si>
    <t>SAL-036</t>
  </si>
  <si>
    <t>SAL-037</t>
  </si>
  <si>
    <t>SAL-038</t>
  </si>
  <si>
    <t>SAL-039</t>
  </si>
  <si>
    <t>SAL-040</t>
  </si>
  <si>
    <t>SAL-041</t>
  </si>
  <si>
    <t>SAL-042</t>
  </si>
  <si>
    <t>SAL-043</t>
  </si>
  <si>
    <t>SAL-044</t>
  </si>
  <si>
    <t>SAL-045</t>
  </si>
  <si>
    <t>SAL-046</t>
  </si>
  <si>
    <t>SAL-047</t>
  </si>
  <si>
    <t>SAL-048</t>
  </si>
  <si>
    <t>SAL-049</t>
  </si>
  <si>
    <t>SAL-050</t>
  </si>
  <si>
    <t>extracted_id</t>
  </si>
  <si>
    <t>Product ID</t>
  </si>
  <si>
    <t>Product Name</t>
  </si>
  <si>
    <t>P001</t>
  </si>
  <si>
    <t>Laptop Pro 15</t>
  </si>
  <si>
    <t>P002</t>
  </si>
  <si>
    <t>Laptop Air 13</t>
  </si>
  <si>
    <t>P003</t>
  </si>
  <si>
    <t>Gaming Laptop X</t>
  </si>
  <si>
    <t>P004</t>
  </si>
  <si>
    <t>P005</t>
  </si>
  <si>
    <t>Desktop PC Mini</t>
  </si>
  <si>
    <t>P006</t>
  </si>
  <si>
    <t>Desktop PC Tower</t>
  </si>
  <si>
    <t>P007</t>
  </si>
  <si>
    <t>Wireless Mouse</t>
  </si>
  <si>
    <t>P008</t>
  </si>
  <si>
    <t>P009</t>
  </si>
  <si>
    <t>Wireless Keyboard</t>
  </si>
  <si>
    <t>P010</t>
  </si>
  <si>
    <t>Bluetooth Headphones</t>
  </si>
  <si>
    <t>P011</t>
  </si>
  <si>
    <t>P012</t>
  </si>
  <si>
    <t>Gaming Headset</t>
  </si>
  <si>
    <t>P013</t>
  </si>
  <si>
    <t>USB-C Charger 65W</t>
  </si>
  <si>
    <t>P014</t>
  </si>
  <si>
    <t>USB-C Charger 30W</t>
  </si>
  <si>
    <t>P015</t>
  </si>
  <si>
    <t>P016</t>
  </si>
  <si>
    <t>Smartwatch S1</t>
  </si>
  <si>
    <t>P017</t>
  </si>
  <si>
    <t>Smartwatch Fit Pro</t>
  </si>
  <si>
    <t>P018</t>
  </si>
  <si>
    <t>P019</t>
  </si>
  <si>
    <t>Fitness Band Lite</t>
  </si>
  <si>
    <t>P020</t>
  </si>
  <si>
    <t>Tablet A10</t>
  </si>
  <si>
    <t>P021</t>
  </si>
  <si>
    <t>Tablet A10 Pro</t>
  </si>
  <si>
    <t>P022</t>
  </si>
  <si>
    <t>P023</t>
  </si>
  <si>
    <t>Smartphone M20</t>
  </si>
  <si>
    <t>P024</t>
  </si>
  <si>
    <t>Smartphone M20 Plus</t>
  </si>
  <si>
    <t>P025</t>
  </si>
  <si>
    <t>P026</t>
  </si>
  <si>
    <t>Smartphone Max Ultra</t>
  </si>
  <si>
    <t>P027</t>
  </si>
  <si>
    <t>Bluetooth Speaker Mini</t>
  </si>
  <si>
    <t>P028</t>
  </si>
  <si>
    <t>Bluetooth Speaker Boom</t>
  </si>
  <si>
    <t>P029</t>
  </si>
  <si>
    <t>P030</t>
  </si>
  <si>
    <t>27-inch IPS Monitor</t>
  </si>
  <si>
    <t>P031</t>
  </si>
  <si>
    <t>32-inch LED Monitor</t>
  </si>
  <si>
    <t>P032</t>
  </si>
  <si>
    <t>24-inch Gaming Monitor</t>
  </si>
  <si>
    <t>P033</t>
  </si>
  <si>
    <t>External Hard Drive 1TB</t>
  </si>
  <si>
    <t>P034</t>
  </si>
  <si>
    <t>External Hard Drive 2TB</t>
  </si>
  <si>
    <t>P035</t>
  </si>
  <si>
    <t>P036</t>
  </si>
  <si>
    <t>SSD Drive 512GB</t>
  </si>
  <si>
    <t>P037</t>
  </si>
  <si>
    <t>SSD Drive 1TB</t>
  </si>
  <si>
    <t>P038</t>
  </si>
  <si>
    <t>P039</t>
  </si>
  <si>
    <t>USB Flash Drive 64GB</t>
  </si>
  <si>
    <t>P040</t>
  </si>
  <si>
    <t>USB Flash Drive 128GB</t>
  </si>
  <si>
    <t>P041</t>
  </si>
  <si>
    <t>P042</t>
  </si>
  <si>
    <t>Wireless Router AC1200</t>
  </si>
  <si>
    <t>P043</t>
  </si>
  <si>
    <t>Wireless Router AX1800</t>
  </si>
  <si>
    <t>P044</t>
  </si>
  <si>
    <t>P045</t>
  </si>
  <si>
    <t>Noise Cancelling Earbuds</t>
  </si>
  <si>
    <t>P046</t>
  </si>
  <si>
    <t>Portable Power Bank 10,000mAh</t>
  </si>
  <si>
    <t>P047</t>
  </si>
  <si>
    <t>Portable Power Bank 20,000mAh</t>
  </si>
  <si>
    <t>P048</t>
  </si>
  <si>
    <t>P049</t>
  </si>
  <si>
    <t>Wireless Charging Pad</t>
  </si>
  <si>
    <t>P050</t>
  </si>
  <si>
    <t>Smart Lamp RGB</t>
  </si>
  <si>
    <t>first5chars</t>
  </si>
  <si>
    <t>Arjun Mehta</t>
  </si>
  <si>
    <t>Rohan Gupta</t>
  </si>
  <si>
    <t>Sagar Deshmukh</t>
  </si>
  <si>
    <t>Neha Kulkarni</t>
  </si>
  <si>
    <t>Pooja Sharma</t>
  </si>
  <si>
    <t>Kiran Rajput</t>
  </si>
  <si>
    <t>Swati Nair</t>
  </si>
  <si>
    <t>Varun Chatterjee</t>
  </si>
  <si>
    <t>Meera Ramaswamy</t>
  </si>
  <si>
    <t>Sanjay Bhatt</t>
  </si>
  <si>
    <t>Priya Iyer</t>
  </si>
  <si>
    <t>Dev Malhotra</t>
  </si>
  <si>
    <t>Shruti Verma</t>
  </si>
  <si>
    <t>Tanmay Saxena</t>
  </si>
  <si>
    <t>Aditi Menon</t>
  </si>
  <si>
    <t>Naveen Patil</t>
  </si>
  <si>
    <t>Kavya Shetty</t>
  </si>
  <si>
    <t>Siddharth Reddy</t>
  </si>
  <si>
    <t>Rhea Joseph</t>
  </si>
  <si>
    <t>Pranav Bhatia</t>
  </si>
  <si>
    <t>Ananya Paul</t>
  </si>
  <si>
    <t>Keshav Sethi</t>
  </si>
  <si>
    <t>Manasi Kulkarni</t>
  </si>
  <si>
    <t>Harshit Pandey</t>
  </si>
  <si>
    <t>Kriti Jaiswal</t>
  </si>
  <si>
    <t>Ishaan Sharma</t>
  </si>
  <si>
    <t>Taniya Abraham</t>
  </si>
  <si>
    <t>Nikhil Bose</t>
  </si>
  <si>
    <t>Sana Merchant</t>
  </si>
  <si>
    <t>Aditya Rao</t>
  </si>
  <si>
    <t>Shreya D’Souza</t>
  </si>
  <si>
    <t>Tejas Khanna</t>
  </si>
  <si>
    <t>Ritu Chauhan</t>
  </si>
  <si>
    <t>Yashveer Kanojia</t>
  </si>
  <si>
    <t>Neelam Joshi</t>
  </si>
  <si>
    <t>Milan Solanki</t>
  </si>
  <si>
    <t>Pritam Gaikwad</t>
  </si>
  <si>
    <t>Roshni Fernandes</t>
  </si>
  <si>
    <t>Dhruv Bansal</t>
  </si>
  <si>
    <t>Naina Chib</t>
  </si>
  <si>
    <t>Zoya Khan</t>
  </si>
  <si>
    <t>Kabir Qureshi</t>
  </si>
  <si>
    <t>Aradhya Pillai</t>
  </si>
  <si>
    <t>Jayant Khatri</t>
  </si>
  <si>
    <t>Simran Oberoi</t>
  </si>
  <si>
    <t>Rakesh Dutta</t>
  </si>
  <si>
    <t>Leena Madan</t>
  </si>
  <si>
    <t>Pushkar Vaidya</t>
  </si>
  <si>
    <t>Natasha Gokhale</t>
  </si>
  <si>
    <t>Amit Trivedi</t>
  </si>
  <si>
    <t>Full Names</t>
  </si>
  <si>
    <t>Person_id</t>
  </si>
  <si>
    <t>last_name</t>
  </si>
  <si>
    <t>Date of Birth</t>
  </si>
  <si>
    <t>first_name</t>
  </si>
  <si>
    <t>year_of_birth</t>
  </si>
  <si>
    <t>age</t>
  </si>
  <si>
    <t>Email ID</t>
  </si>
  <si>
    <t>arjun.mehta@company.com</t>
  </si>
  <si>
    <t>rohan.gupta@company.com</t>
  </si>
  <si>
    <t>sagar.deshmukh@company.com</t>
  </si>
  <si>
    <t>neha.kulkarni@company.com</t>
  </si>
  <si>
    <t>pooja.sharma@company.com</t>
  </si>
  <si>
    <t>kiran.rajput@company.com</t>
  </si>
  <si>
    <t>varun.chatterjee@company.com</t>
  </si>
  <si>
    <t>meera.ramaswamy@company.com</t>
  </si>
  <si>
    <t>sanjay.bhatt@company.com</t>
  </si>
  <si>
    <t>dev.malhotra@company.com</t>
  </si>
  <si>
    <t>shruti.verma@company.com</t>
  </si>
  <si>
    <t>tanmay.saxena@company.com</t>
  </si>
  <si>
    <t>aditi.menon@company.com</t>
  </si>
  <si>
    <t>naveen.patil@company.com</t>
  </si>
  <si>
    <t>kavya.shetty@company.com</t>
  </si>
  <si>
    <t>siddharth.reddy@company.com</t>
  </si>
  <si>
    <t>rhea.joseph@company.com</t>
  </si>
  <si>
    <t>pranav.bhatia@company.com</t>
  </si>
  <si>
    <t>ananya.paul@company.com</t>
  </si>
  <si>
    <t>keshav.sethi@company.com</t>
  </si>
  <si>
    <t>manasi.kulkarni@company.com</t>
  </si>
  <si>
    <t>harshit.pandey@company.com</t>
  </si>
  <si>
    <t>kriti.jaiswal@company.com</t>
  </si>
  <si>
    <t>ishaan.sharma@company.com</t>
  </si>
  <si>
    <t>nikhil.bose@company.com</t>
  </si>
  <si>
    <t>sana.merchant@company.com</t>
  </si>
  <si>
    <t>aditya.rao@company.com</t>
  </si>
  <si>
    <t>shreya.dsouza@company.com</t>
  </si>
  <si>
    <t>tejas.khanna@company.com</t>
  </si>
  <si>
    <t>ritu.chauhan@company.com</t>
  </si>
  <si>
    <t>yashveer.kanojia@company.com</t>
  </si>
  <si>
    <t>milan.solanki@company.com</t>
  </si>
  <si>
    <t>pritam.gaikwad@company.com</t>
  </si>
  <si>
    <t>roshni.fernandes@company.com</t>
  </si>
  <si>
    <t>dhruv.bansal@company.com</t>
  </si>
  <si>
    <t>naina.chib@company.com</t>
  </si>
  <si>
    <t>zoya.khan@company.com</t>
  </si>
  <si>
    <t>kabir.qureshi@company.com</t>
  </si>
  <si>
    <t>aradhya.pillai@company.com</t>
  </si>
  <si>
    <t>jayant.khatri@company.com</t>
  </si>
  <si>
    <t>rakesh.dutta@company.com</t>
  </si>
  <si>
    <t>leena.madan@company.com</t>
  </si>
  <si>
    <t>pushkar.vaidya@company.com</t>
  </si>
  <si>
    <t>amit.trivedi@company.com</t>
  </si>
  <si>
    <t>Email_validation</t>
  </si>
  <si>
    <t>Product Code</t>
  </si>
  <si>
    <t>LP15-2023-001</t>
  </si>
  <si>
    <t>LA13-2024-002</t>
  </si>
  <si>
    <t>GLX-2023-003</t>
  </si>
  <si>
    <t>LP15-2024-004</t>
  </si>
  <si>
    <t>DPM-2023-005</t>
  </si>
  <si>
    <t>DPT-2024-006</t>
  </si>
  <si>
    <t>WM-2023-007</t>
  </si>
  <si>
    <t>WM-2024-008</t>
  </si>
  <si>
    <t>WK-2023-009</t>
  </si>
  <si>
    <t>BH-2024-010</t>
  </si>
  <si>
    <t>BH-2023-011</t>
  </si>
  <si>
    <t>GH-2024-012</t>
  </si>
  <si>
    <t>UC65-2023-013</t>
  </si>
  <si>
    <t>UC30-2024-014</t>
  </si>
  <si>
    <t>UC65-2024-015</t>
  </si>
  <si>
    <t>SW1-2023-016</t>
  </si>
  <si>
    <t>SFP-2024-017</t>
  </si>
  <si>
    <t>SW1-2024-018</t>
  </si>
  <si>
    <t>FBL-2023-019</t>
  </si>
  <si>
    <t>TA10-2024-020</t>
  </si>
  <si>
    <t>TA10P-2023-021</t>
  </si>
  <si>
    <t>TA10-2023-022</t>
  </si>
  <si>
    <t>SM20-2024-023</t>
  </si>
  <si>
    <t>SM20P-2023-024</t>
  </si>
  <si>
    <t>SM20-2023-025</t>
  </si>
  <si>
    <t>SMXU-2024-026</t>
  </si>
  <si>
    <t>BSM-2023-027</t>
  </si>
  <si>
    <t>BSB-2024-028</t>
  </si>
  <si>
    <t>BSM-2024-029</t>
  </si>
  <si>
    <t>IM27-2023-030</t>
  </si>
  <si>
    <t>LM32-2024-031</t>
  </si>
  <si>
    <t>GM24-2023-032</t>
  </si>
  <si>
    <t>EHD1-2024-033</t>
  </si>
  <si>
    <t>EHD2-2023-034</t>
  </si>
  <si>
    <t>EHD1-2023-035</t>
  </si>
  <si>
    <t>SSD512-2024-036</t>
  </si>
  <si>
    <t>SSD1T-2023-037</t>
  </si>
  <si>
    <t>SSD1T-2024-038</t>
  </si>
  <si>
    <t>UFD64-2023-039</t>
  </si>
  <si>
    <t>UFD128-2024-040</t>
  </si>
  <si>
    <t>UFD64-2024-041</t>
  </si>
  <si>
    <t>WRAC-2023-042</t>
  </si>
  <si>
    <t>WRAX-2024-043</t>
  </si>
  <si>
    <t>WRAC-2024-044</t>
  </si>
  <si>
    <t>NCE-2023-045</t>
  </si>
  <si>
    <t>PPB10-2024-046</t>
  </si>
  <si>
    <t>PPB20-2023-047</t>
  </si>
  <si>
    <t>PPB10-2023-048</t>
  </si>
  <si>
    <t>WCP-2024-049</t>
  </si>
  <si>
    <t>SLRGB-2023-050</t>
  </si>
  <si>
    <t>repalced_pro_code</t>
  </si>
  <si>
    <t>Laptop Pro 15 – Dell</t>
  </si>
  <si>
    <t>Laptop Air 13 – Apple</t>
  </si>
  <si>
    <t>Gaming Laptop X – ASUS</t>
  </si>
  <si>
    <t>Laptop Pro 15 – HP</t>
  </si>
  <si>
    <t>Desktop PC Mini – Lenovo</t>
  </si>
  <si>
    <t>Desktop PC Tower – Acer</t>
  </si>
  <si>
    <t>Wireless Mouse – Logitech</t>
  </si>
  <si>
    <t>Wireless Mouse – Dell</t>
  </si>
  <si>
    <t>Wireless Keyboard – Logitech</t>
  </si>
  <si>
    <t>Bluetooth Headphones – Sony</t>
  </si>
  <si>
    <t>Bluetooth Headphones – JBL</t>
  </si>
  <si>
    <t>Gaming Headset – HyperX</t>
  </si>
  <si>
    <t>USB-C Charger 65W – Anker</t>
  </si>
  <si>
    <t>USB-C Charger 30W – Samsung</t>
  </si>
  <si>
    <t>USB-C Charger 65W – Apple</t>
  </si>
  <si>
    <t>Smartwatch S1 – Samsung</t>
  </si>
  <si>
    <t>Smartwatch Fit Pro – Xiaomi</t>
  </si>
  <si>
    <t>Smartwatch S1 – Apple</t>
  </si>
  <si>
    <t>Fitness Band Lite – Fitbit</t>
  </si>
  <si>
    <t>Tablet A10 – Samsung</t>
  </si>
  <si>
    <t>Tablet A10 Pro – Apple</t>
  </si>
  <si>
    <t>Tablet A10 – Lenovo</t>
  </si>
  <si>
    <t>Smartphone M20 – Samsung</t>
  </si>
  <si>
    <t>Smartphone M20 Plus – Samsung</t>
  </si>
  <si>
    <t>Smartphone M20 – Xiaomi</t>
  </si>
  <si>
    <t>Smartphone Max Ultra – OnePlus</t>
  </si>
  <si>
    <t>Bluetooth Speaker Mini – JBL</t>
  </si>
  <si>
    <t>Bluetooth Speaker Boom – Bose</t>
  </si>
  <si>
    <t>Bluetooth Speaker Mini – Sony</t>
  </si>
  <si>
    <t>27-inch IPS Monitor – LG</t>
  </si>
  <si>
    <t>32-inch LED Monitor – Samsung</t>
  </si>
  <si>
    <t>24-inch Gaming Monitor – ASUS</t>
  </si>
  <si>
    <t>External Hard Drive 1TB – Seagate</t>
  </si>
  <si>
    <t>External Hard Drive 2TB – Western Digital</t>
  </si>
  <si>
    <t>External Hard Drive 1TB – Toshiba</t>
  </si>
  <si>
    <t>SSD Drive 512GB – Kingston</t>
  </si>
  <si>
    <t>SSD Drive 1TB – Samsung</t>
  </si>
  <si>
    <t>SSD Drive 1TB – Crucial</t>
  </si>
  <si>
    <t>USB Flash Drive 64GB – SanDisk</t>
  </si>
  <si>
    <t>USB Flash Drive 128GB – SanDisk</t>
  </si>
  <si>
    <t>USB Flash Drive 64GB – HP</t>
  </si>
  <si>
    <t>Wireless Router AC1200 – TP-Link</t>
  </si>
  <si>
    <t>Wireless Router AX1800 – Netgear</t>
  </si>
  <si>
    <t>Wireless Router AC1200 – D-Link</t>
  </si>
  <si>
    <t>Noise Cancelling Earbuds – Sony</t>
  </si>
  <si>
    <t>Portable Power Bank 10,000mAh – Mi</t>
  </si>
  <si>
    <t>Portable Power Bank 20,000mAh – Anker</t>
  </si>
  <si>
    <t>Portable Power Bank 10,000mAh – Realme</t>
  </si>
  <si>
    <t>Wireless Charging Pad – Belkin</t>
  </si>
  <si>
    <t>Smart Lamp RGB – Philips</t>
  </si>
  <si>
    <t>product-brand</t>
  </si>
  <si>
    <t>brand</t>
  </si>
  <si>
    <t>salary</t>
  </si>
  <si>
    <t>Values</t>
  </si>
  <si>
    <t>xlookup output</t>
  </si>
  <si>
    <t>Student Name</t>
  </si>
  <si>
    <t>Marks</t>
  </si>
  <si>
    <t>Aarav Sharma</t>
  </si>
  <si>
    <t>Riya Patel</t>
  </si>
  <si>
    <t>Kunal Mehta</t>
  </si>
  <si>
    <t>Ananya Iyer</t>
  </si>
  <si>
    <t>Rohit Verma</t>
  </si>
  <si>
    <t>Sneha Kulkarni</t>
  </si>
  <si>
    <t>Aditya Singh</t>
  </si>
  <si>
    <t>Pooja Nair</t>
  </si>
  <si>
    <t>Vikram Joshi</t>
  </si>
  <si>
    <t>Neha Gupta</t>
  </si>
  <si>
    <t>Sahil Malhotra</t>
  </si>
  <si>
    <t>Kavita Rao</t>
  </si>
  <si>
    <t>Rahul Khanna</t>
  </si>
  <si>
    <t>Meera Pillai</t>
  </si>
  <si>
    <t>Amit Choudhary</t>
  </si>
  <si>
    <t>Nisha Banerjee</t>
  </si>
  <si>
    <t>Varun Kapoor</t>
  </si>
  <si>
    <t>Tanvi Deshpande</t>
  </si>
  <si>
    <t>Suresh Reddy</t>
  </si>
  <si>
    <t>Ishita Jain</t>
  </si>
  <si>
    <t>Manoj Tiwari</t>
  </si>
  <si>
    <t>Rashmi Shetty</t>
  </si>
  <si>
    <t>Arjun Bansal</t>
  </si>
  <si>
    <t>Pallavi Gokhale</t>
  </si>
  <si>
    <t>Nitin Aggarwal</t>
  </si>
  <si>
    <t>Ayesha Khan</t>
  </si>
  <si>
    <t>Deepak Mishra</t>
  </si>
  <si>
    <t>Shraddha Patil</t>
  </si>
  <si>
    <t>Harsh Vardhan</t>
  </si>
  <si>
    <t>Preeti Saxena</t>
  </si>
  <si>
    <t>Mohit Agarwal</t>
  </si>
  <si>
    <t>Renu Sinha</t>
  </si>
  <si>
    <t>Karthik Subramanian</t>
  </si>
  <si>
    <t>Payal Arora</t>
  </si>
  <si>
    <t>Abhinav Gupta</t>
  </si>
  <si>
    <t>Shweta Kulkarni</t>
  </si>
  <si>
    <t>Akash Yadav</t>
  </si>
  <si>
    <t>Komal Shah</t>
  </si>
  <si>
    <t>Sandeep Pawar</t>
  </si>
  <si>
    <t>Ritu Malhotra</t>
  </si>
  <si>
    <t>Yogesh Patil</t>
  </si>
  <si>
    <t>Nandini Roy</t>
  </si>
  <si>
    <t>Gaurav Singhal</t>
  </si>
  <si>
    <t>Poojan Desai</t>
  </si>
  <si>
    <t>Sunita Menon</t>
  </si>
  <si>
    <t>Prakash Jha</t>
  </si>
  <si>
    <t>Ritika Sood</t>
  </si>
  <si>
    <t>Alok Pandey</t>
  </si>
  <si>
    <t>Bhavya Jain</t>
  </si>
  <si>
    <t>Suman Das</t>
  </si>
  <si>
    <t>roll no</t>
  </si>
  <si>
    <t>Grade</t>
  </si>
  <si>
    <t xml:space="preserve">values </t>
  </si>
  <si>
    <t>index and match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</si>
</sst>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NumberFormat="1" applyAlignment="1">
      <alignment horizontal="center"/>
    </xf>
    <xf numFmtId="0" fontId="3" fillId="0" borderId="0" xfId="1" applyNumberFormat="1" applyAlignment="1">
      <alignment horizontal="center"/>
    </xf>
    <xf numFmtId="0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wrapText="1"/>
    </xf>
  </cellXfs>
  <cellStyles count="2">
    <cellStyle name="Hyperlink" xfId="1" builtinId="8"/>
    <cellStyle name="Normal" xfId="0" builtinId="0"/>
  </cellStyles>
  <dxfs count="36"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center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CE8C4A-8452-4E24-9839-8D52D9C92F91}" name="Table1" displayName="Table1" ref="A1:B51" totalsRowShown="0" headerRowDxfId="35" dataDxfId="12">
  <autoFilter ref="A1:B51" xr:uid="{455E2589-4566-4230-91D1-91F1657D1D74}"/>
  <tableColumns count="2">
    <tableColumn id="1" xr3:uid="{B2949043-A328-43FB-BC76-D5A4945F4744}" name="sales_id" dataDxfId="14"/>
    <tableColumn id="2" xr3:uid="{FA8FA371-8A5F-4043-8954-766DB70ED269}" name="extracted_id" dataDxfId="13">
      <calculatedColumnFormula>RIGHT(Table1[[#This Row],[sales_id]],3)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ACA6-9925-448A-BB27-91C24DC4CEBB}" name="Table2" displayName="Table2" ref="A1:G51" totalsRowShown="0" headerRowDxfId="16" dataDxfId="15">
  <autoFilter ref="A1:G51" xr:uid="{84C9D365-AAC2-4308-83D0-508C2A0A4705}"/>
  <tableColumns count="7">
    <tableColumn id="1" xr3:uid="{B574212B-85CE-4F4D-AF8F-DDB8FF17FCA0}" name="Product ID" dataDxfId="23"/>
    <tableColumn id="2" xr3:uid="{7C8BEEB6-4FFA-4887-9BE6-2802C0EA0C4F}" name="Product Name" dataDxfId="22"/>
    <tableColumn id="3" xr3:uid="{2577F5A3-B6E4-45D8-B967-E8030F1D0629}" name="first5chars" dataDxfId="21">
      <calculatedColumnFormula>LEFT(Table2[[#This Row],[Product Name]],5)</calculatedColumnFormula>
    </tableColumn>
    <tableColumn id="5" xr3:uid="{3927B9D9-6022-4A5D-8D0B-9CF75D681206}" name="Product Code" dataDxfId="20"/>
    <tableColumn id="6" xr3:uid="{EBB24499-DA8E-4773-A8EE-F1BEDEF2D6D2}" name="repalced_pro_code" dataDxfId="19">
      <calculatedColumnFormula>REPLACE(Table2[[#This Row],[Product Code]],FIND("2",Table2[[#This Row],[Product Code]]),4,"2024")</calculatedColumnFormula>
    </tableColumn>
    <tableColumn id="7" xr3:uid="{7231413A-D12A-49CF-932E-C40C9D68CC98}" name="product-brand" dataDxfId="18"/>
    <tableColumn id="8" xr3:uid="{A3CDF269-0B13-439A-A193-15E9B1DA26FD}" name="brand" dataDxfId="17">
      <calculatedColumnFormula>RIGHT(Table2[[#This Row],[product-brand]],LEN(Table2[[#This Row],[product-brand]])-FIND("–",Table2[[#This Row],[product-brand]]))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13026A-B452-44D6-A137-6A6EBC5B2235}" name="Table6" displayName="Table6" ref="I23:J28" totalsRowShown="0" headerRowDxfId="1" dataDxfId="2">
  <autoFilter ref="I23:J28" xr:uid="{A437472C-287F-4367-A6FB-AE50E980269C}"/>
  <tableColumns count="2">
    <tableColumn id="1" xr3:uid="{F3798DA5-0685-498C-9152-993DBB5AFB66}" name="values " dataDxfId="3"/>
    <tableColumn id="2" xr3:uid="{F150FC95-0EC5-46D6-AB11-AC2E9C53DE08}" name="index and match result" dataDxfId="0">
      <calculatedColumnFormula>INDEX(Table2[Product Name],MATCH(Table6[[#This Row],[values ]],Table2[Product Code],0))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2537D6-750A-483D-9F23-882EAF6372DB}" name="Table3" displayName="Table3" ref="A1:J51" totalsRowShown="0" headerRowDxfId="34" dataDxfId="33">
  <autoFilter ref="A1:J51" xr:uid="{E8BEBB26-4651-46A1-8472-849EE8207A9E}"/>
  <tableColumns count="10">
    <tableColumn id="1" xr3:uid="{E9C4CC2E-D35C-4143-827A-F83AC8100FED}" name="Person_id" dataDxfId="32"/>
    <tableColumn id="2" xr3:uid="{27A3808E-A635-4AFF-8081-209E576A8F8E}" name="Full Names" dataDxfId="31"/>
    <tableColumn id="7" xr3:uid="{D3A4E46E-BDE9-47F7-B15F-845B728DA567}" name="first_name" dataDxfId="30">
      <calculatedColumnFormula>LEFT(Table3[[#This Row],[Full Names]],FIND(" ",Table3[[#This Row],[Full Names]]))</calculatedColumnFormula>
    </tableColumn>
    <tableColumn id="3" xr3:uid="{C1209AF1-A13B-4B79-BAB4-A2BD7CE39D8D}" name="last_name" dataDxfId="29">
      <calculatedColumnFormula>RIGHT(Table3[[#This Row],[Full Names]],LEN(Table3[[#This Row],[Full Names]])-FIND(" ",Table3[[#This Row],[Full Names]]))</calculatedColumnFormula>
    </tableColumn>
    <tableColumn id="6" xr3:uid="{1A04902F-102E-42FC-A913-BE87BCF550E6}" name="Date of Birth" dataDxfId="28"/>
    <tableColumn id="8" xr3:uid="{FCA51A72-5A2C-4ED0-AAA4-802F178F20ED}" name="year_of_birth" dataDxfId="27">
      <calculatedColumnFormula>YEAR(Table3[[#This Row],[Date of Birth]])</calculatedColumnFormula>
    </tableColumn>
    <tableColumn id="9" xr3:uid="{4EA8C01D-FF8B-4F35-B770-C374D37B4B01}" name="age" dataDxfId="26">
      <calculatedColumnFormula>2025-Table3[[#This Row],[year_of_birth]]</calculatedColumnFormula>
    </tableColumn>
    <tableColumn id="11" xr3:uid="{F82DFDBE-9CD2-46D3-9E7D-ECAABEE57443}" name="Email ID" dataDxfId="25"/>
    <tableColumn id="4" xr3:uid="{9DA13B0D-4D75-42F6-B33F-CF7711216F56}" name="Email_validation" dataDxfId="24">
      <calculatedColumnFormula>IF(ISBLANK(Table3[[#This Row],[Email ID]]),"NO","YES")</calculatedColumnFormula>
    </tableColumn>
    <tableColumn id="10" xr3:uid="{3084E7E9-8880-45AC-9589-236BA4F45BDF}" name="salary" dataDxfId="1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85D732-C812-43ED-97C3-DF49E47590F7}" name="Table4" displayName="Table4" ref="L22:M27" totalsRowShown="0">
  <autoFilter ref="L22:M27" xr:uid="{71FA0593-753A-4AB9-8045-7AC0C3D37AC6}"/>
  <tableColumns count="2">
    <tableColumn id="1" xr3:uid="{8068D737-91E2-42D0-909A-F2DD1EFB4889}" name="Values"/>
    <tableColumn id="2" xr3:uid="{1F2766EB-5C38-411D-95EB-C72720755D82}" name="xlookup output" dataDxfId="10">
      <calculatedColumnFormula>INDEX(Table3[salary],MATCH(Table4[[#This Row],[Values]],Table3[Full Names],))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143960-5FFA-45FF-A330-6D1E5DC3861D}" name="Table5" displayName="Table5" ref="A1:D51" totalsRowShown="0" headerRowDxfId="6" dataDxfId="5">
  <autoFilter ref="A1:D51" xr:uid="{C0412A99-051E-4172-939E-56AD7C7268DE}"/>
  <tableColumns count="4">
    <tableColumn id="1" xr3:uid="{2F825765-1C32-4FC7-83D3-9D49DD9B901D}" name="roll no" dataDxfId="9"/>
    <tableColumn id="2" xr3:uid="{186458FD-D544-4477-A001-4CE2334849B9}" name="Student Name" dataDxfId="8"/>
    <tableColumn id="3" xr3:uid="{641A33D9-5C14-4138-9179-EBBA82786A36}" name="Marks" dataDxfId="7"/>
    <tableColumn id="4" xr3:uid="{C64800C6-7964-4202-89D4-38C62424B677}" name="Grade" dataDxfId="4">
      <calculatedColumnFormula>IF(Table5[[#This Row],[Marks]]&gt;90,"Execellent",IF(Table5[[#This Row],[Marks]]&gt;80,"Very good",IF(Table5[[#This Row],[Marks]]&gt;70,"Godd",IF(Table5[[#This Row],[Marks]]&gt;50,"Average","Poor"))))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diti.menon@company.com" TargetMode="External"/><Relationship Id="rId18" Type="http://schemas.openxmlformats.org/officeDocument/2006/relationships/hyperlink" Target="mailto:pranav.bhatia@company.com" TargetMode="External"/><Relationship Id="rId26" Type="http://schemas.openxmlformats.org/officeDocument/2006/relationships/hyperlink" Target="mailto:sana.merchant@company.com" TargetMode="External"/><Relationship Id="rId39" Type="http://schemas.openxmlformats.org/officeDocument/2006/relationships/hyperlink" Target="mailto:aradhya.pillai@company.com" TargetMode="External"/><Relationship Id="rId21" Type="http://schemas.openxmlformats.org/officeDocument/2006/relationships/hyperlink" Target="mailto:manasi.kulkarni@company.com" TargetMode="External"/><Relationship Id="rId34" Type="http://schemas.openxmlformats.org/officeDocument/2006/relationships/hyperlink" Target="mailto:roshni.fernandes@company.com" TargetMode="External"/><Relationship Id="rId42" Type="http://schemas.openxmlformats.org/officeDocument/2006/relationships/hyperlink" Target="mailto:leena.madan@company.com" TargetMode="External"/><Relationship Id="rId7" Type="http://schemas.openxmlformats.org/officeDocument/2006/relationships/hyperlink" Target="mailto:varun.chatterjee@company.com" TargetMode="External"/><Relationship Id="rId2" Type="http://schemas.openxmlformats.org/officeDocument/2006/relationships/hyperlink" Target="mailto:rohan.gupta@company.com" TargetMode="External"/><Relationship Id="rId16" Type="http://schemas.openxmlformats.org/officeDocument/2006/relationships/hyperlink" Target="mailto:siddharth.reddy@company.com" TargetMode="External"/><Relationship Id="rId29" Type="http://schemas.openxmlformats.org/officeDocument/2006/relationships/hyperlink" Target="mailto:tejas.khanna@company.com" TargetMode="External"/><Relationship Id="rId1" Type="http://schemas.openxmlformats.org/officeDocument/2006/relationships/hyperlink" Target="mailto:arjun.mehta@company.com" TargetMode="External"/><Relationship Id="rId6" Type="http://schemas.openxmlformats.org/officeDocument/2006/relationships/hyperlink" Target="mailto:kiran.rajput@company.com" TargetMode="External"/><Relationship Id="rId11" Type="http://schemas.openxmlformats.org/officeDocument/2006/relationships/hyperlink" Target="mailto:shruti.verma@company.com" TargetMode="External"/><Relationship Id="rId24" Type="http://schemas.openxmlformats.org/officeDocument/2006/relationships/hyperlink" Target="mailto:ishaan.sharma@company.com" TargetMode="External"/><Relationship Id="rId32" Type="http://schemas.openxmlformats.org/officeDocument/2006/relationships/hyperlink" Target="mailto:milan.solanki@company.com" TargetMode="External"/><Relationship Id="rId37" Type="http://schemas.openxmlformats.org/officeDocument/2006/relationships/hyperlink" Target="mailto:zoya.khan@company.com" TargetMode="External"/><Relationship Id="rId40" Type="http://schemas.openxmlformats.org/officeDocument/2006/relationships/hyperlink" Target="mailto:jayant.khatri@company.com" TargetMode="External"/><Relationship Id="rId45" Type="http://schemas.openxmlformats.org/officeDocument/2006/relationships/table" Target="../tables/table4.xml"/><Relationship Id="rId5" Type="http://schemas.openxmlformats.org/officeDocument/2006/relationships/hyperlink" Target="mailto:pooja.sharma@company.com" TargetMode="External"/><Relationship Id="rId15" Type="http://schemas.openxmlformats.org/officeDocument/2006/relationships/hyperlink" Target="mailto:kavya.shetty@company.com" TargetMode="External"/><Relationship Id="rId23" Type="http://schemas.openxmlformats.org/officeDocument/2006/relationships/hyperlink" Target="mailto:kriti.jaiswal@company.com" TargetMode="External"/><Relationship Id="rId28" Type="http://schemas.openxmlformats.org/officeDocument/2006/relationships/hyperlink" Target="mailto:shreya.dsouza@company.com" TargetMode="External"/><Relationship Id="rId36" Type="http://schemas.openxmlformats.org/officeDocument/2006/relationships/hyperlink" Target="mailto:naina.chib@company.com" TargetMode="External"/><Relationship Id="rId10" Type="http://schemas.openxmlformats.org/officeDocument/2006/relationships/hyperlink" Target="mailto:dev.malhotra@company.com" TargetMode="External"/><Relationship Id="rId19" Type="http://schemas.openxmlformats.org/officeDocument/2006/relationships/hyperlink" Target="mailto:ananya.paul@company.com" TargetMode="External"/><Relationship Id="rId31" Type="http://schemas.openxmlformats.org/officeDocument/2006/relationships/hyperlink" Target="mailto:yashveer.kanojia@company.com" TargetMode="External"/><Relationship Id="rId44" Type="http://schemas.openxmlformats.org/officeDocument/2006/relationships/hyperlink" Target="mailto:amit.trivedi@company.com" TargetMode="External"/><Relationship Id="rId4" Type="http://schemas.openxmlformats.org/officeDocument/2006/relationships/hyperlink" Target="mailto:neha.kulkarni@company.com" TargetMode="External"/><Relationship Id="rId9" Type="http://schemas.openxmlformats.org/officeDocument/2006/relationships/hyperlink" Target="mailto:sanjay.bhatt@company.com" TargetMode="External"/><Relationship Id="rId14" Type="http://schemas.openxmlformats.org/officeDocument/2006/relationships/hyperlink" Target="mailto:naveen.patil@company.com" TargetMode="External"/><Relationship Id="rId22" Type="http://schemas.openxmlformats.org/officeDocument/2006/relationships/hyperlink" Target="mailto:harshit.pandey@company.com" TargetMode="External"/><Relationship Id="rId27" Type="http://schemas.openxmlformats.org/officeDocument/2006/relationships/hyperlink" Target="mailto:aditya.rao@company.com" TargetMode="External"/><Relationship Id="rId30" Type="http://schemas.openxmlformats.org/officeDocument/2006/relationships/hyperlink" Target="mailto:ritu.chauhan@company.com" TargetMode="External"/><Relationship Id="rId35" Type="http://schemas.openxmlformats.org/officeDocument/2006/relationships/hyperlink" Target="mailto:dhruv.bansal@company.com" TargetMode="External"/><Relationship Id="rId43" Type="http://schemas.openxmlformats.org/officeDocument/2006/relationships/hyperlink" Target="mailto:pushkar.vaidya@company.com" TargetMode="External"/><Relationship Id="rId8" Type="http://schemas.openxmlformats.org/officeDocument/2006/relationships/hyperlink" Target="mailto:meera.ramaswamy@company.com" TargetMode="External"/><Relationship Id="rId3" Type="http://schemas.openxmlformats.org/officeDocument/2006/relationships/hyperlink" Target="mailto:sagar.deshmukh@company.com" TargetMode="External"/><Relationship Id="rId12" Type="http://schemas.openxmlformats.org/officeDocument/2006/relationships/hyperlink" Target="mailto:tanmay.saxena@company.com" TargetMode="External"/><Relationship Id="rId17" Type="http://schemas.openxmlformats.org/officeDocument/2006/relationships/hyperlink" Target="mailto:rhea.joseph@company.com" TargetMode="External"/><Relationship Id="rId25" Type="http://schemas.openxmlformats.org/officeDocument/2006/relationships/hyperlink" Target="mailto:nikhil.bose@company.com" TargetMode="External"/><Relationship Id="rId33" Type="http://schemas.openxmlformats.org/officeDocument/2006/relationships/hyperlink" Target="mailto:pritam.gaikwad@company.com" TargetMode="External"/><Relationship Id="rId38" Type="http://schemas.openxmlformats.org/officeDocument/2006/relationships/hyperlink" Target="mailto:kabir.qureshi@company.com" TargetMode="External"/><Relationship Id="rId46" Type="http://schemas.openxmlformats.org/officeDocument/2006/relationships/table" Target="../tables/table5.xml"/><Relationship Id="rId20" Type="http://schemas.openxmlformats.org/officeDocument/2006/relationships/hyperlink" Target="mailto:keshav.sethi@company.com" TargetMode="External"/><Relationship Id="rId41" Type="http://schemas.openxmlformats.org/officeDocument/2006/relationships/hyperlink" Target="mailto:rakesh.dutta@company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1"/>
  <sheetViews>
    <sheetView zoomScale="205" zoomScaleNormal="205" workbookViewId="0">
      <selection activeCell="C2" sqref="C2"/>
    </sheetView>
  </sheetViews>
  <sheetFormatPr defaultRowHeight="14.5" x14ac:dyDescent="0.35"/>
  <cols>
    <col min="2" max="2" width="13.4140625" bestFit="1" customWidth="1"/>
  </cols>
  <sheetData>
    <row r="1" spans="1:2" x14ac:dyDescent="0.35">
      <c r="A1" s="3" t="s">
        <v>0</v>
      </c>
      <c r="B1" s="3" t="s">
        <v>51</v>
      </c>
    </row>
    <row r="2" spans="1:2" x14ac:dyDescent="0.35">
      <c r="A2" s="3" t="s">
        <v>1</v>
      </c>
      <c r="B2" s="3" t="str">
        <f>RIGHT(Table1[[#This Row],[sales_id]],3)</f>
        <v>001</v>
      </c>
    </row>
    <row r="3" spans="1:2" x14ac:dyDescent="0.35">
      <c r="A3" s="3" t="s">
        <v>2</v>
      </c>
      <c r="B3" s="3" t="str">
        <f>RIGHT(Table1[[#This Row],[sales_id]],3)</f>
        <v>002</v>
      </c>
    </row>
    <row r="4" spans="1:2" x14ac:dyDescent="0.35">
      <c r="A4" s="3" t="s">
        <v>3</v>
      </c>
      <c r="B4" s="3" t="str">
        <f>RIGHT(Table1[[#This Row],[sales_id]],3)</f>
        <v>003</v>
      </c>
    </row>
    <row r="5" spans="1:2" x14ac:dyDescent="0.35">
      <c r="A5" s="3" t="s">
        <v>4</v>
      </c>
      <c r="B5" s="3" t="str">
        <f>RIGHT(Table1[[#This Row],[sales_id]],3)</f>
        <v>004</v>
      </c>
    </row>
    <row r="6" spans="1:2" x14ac:dyDescent="0.35">
      <c r="A6" s="3" t="s">
        <v>5</v>
      </c>
      <c r="B6" s="3" t="str">
        <f>RIGHT(Table1[[#This Row],[sales_id]],3)</f>
        <v>005</v>
      </c>
    </row>
    <row r="7" spans="1:2" x14ac:dyDescent="0.35">
      <c r="A7" s="3" t="s">
        <v>6</v>
      </c>
      <c r="B7" s="3" t="str">
        <f>RIGHT(Table1[[#This Row],[sales_id]],3)</f>
        <v>006</v>
      </c>
    </row>
    <row r="8" spans="1:2" x14ac:dyDescent="0.35">
      <c r="A8" s="3" t="s">
        <v>7</v>
      </c>
      <c r="B8" s="3" t="str">
        <f>RIGHT(Table1[[#This Row],[sales_id]],3)</f>
        <v>007</v>
      </c>
    </row>
    <row r="9" spans="1:2" x14ac:dyDescent="0.35">
      <c r="A9" s="3" t="s">
        <v>8</v>
      </c>
      <c r="B9" s="3" t="str">
        <f>RIGHT(Table1[[#This Row],[sales_id]],3)</f>
        <v>008</v>
      </c>
    </row>
    <row r="10" spans="1:2" x14ac:dyDescent="0.35">
      <c r="A10" s="3" t="s">
        <v>9</v>
      </c>
      <c r="B10" s="3" t="str">
        <f>RIGHT(Table1[[#This Row],[sales_id]],3)</f>
        <v>009</v>
      </c>
    </row>
    <row r="11" spans="1:2" x14ac:dyDescent="0.35">
      <c r="A11" s="3" t="s">
        <v>10</v>
      </c>
      <c r="B11" s="3" t="str">
        <f>RIGHT(Table1[[#This Row],[sales_id]],3)</f>
        <v>010</v>
      </c>
    </row>
    <row r="12" spans="1:2" x14ac:dyDescent="0.35">
      <c r="A12" s="3" t="s">
        <v>11</v>
      </c>
      <c r="B12" s="3" t="str">
        <f>RIGHT(Table1[[#This Row],[sales_id]],3)</f>
        <v>011</v>
      </c>
    </row>
    <row r="13" spans="1:2" x14ac:dyDescent="0.35">
      <c r="A13" s="3" t="s">
        <v>12</v>
      </c>
      <c r="B13" s="3" t="str">
        <f>RIGHT(Table1[[#This Row],[sales_id]],3)</f>
        <v>012</v>
      </c>
    </row>
    <row r="14" spans="1:2" x14ac:dyDescent="0.35">
      <c r="A14" s="3" t="s">
        <v>13</v>
      </c>
      <c r="B14" s="3" t="str">
        <f>RIGHT(Table1[[#This Row],[sales_id]],3)</f>
        <v>013</v>
      </c>
    </row>
    <row r="15" spans="1:2" x14ac:dyDescent="0.35">
      <c r="A15" s="3" t="s">
        <v>14</v>
      </c>
      <c r="B15" s="3" t="str">
        <f>RIGHT(Table1[[#This Row],[sales_id]],3)</f>
        <v>014</v>
      </c>
    </row>
    <row r="16" spans="1:2" x14ac:dyDescent="0.35">
      <c r="A16" s="3" t="s">
        <v>15</v>
      </c>
      <c r="B16" s="3" t="str">
        <f>RIGHT(Table1[[#This Row],[sales_id]],3)</f>
        <v>015</v>
      </c>
    </row>
    <row r="17" spans="1:2" x14ac:dyDescent="0.35">
      <c r="A17" s="3" t="s">
        <v>16</v>
      </c>
      <c r="B17" s="3" t="str">
        <f>RIGHT(Table1[[#This Row],[sales_id]],3)</f>
        <v>016</v>
      </c>
    </row>
    <row r="18" spans="1:2" x14ac:dyDescent="0.35">
      <c r="A18" s="3" t="s">
        <v>17</v>
      </c>
      <c r="B18" s="3" t="str">
        <f>RIGHT(Table1[[#This Row],[sales_id]],3)</f>
        <v>017</v>
      </c>
    </row>
    <row r="19" spans="1:2" x14ac:dyDescent="0.35">
      <c r="A19" s="3" t="s">
        <v>18</v>
      </c>
      <c r="B19" s="3" t="str">
        <f>RIGHT(Table1[[#This Row],[sales_id]],3)</f>
        <v>018</v>
      </c>
    </row>
    <row r="20" spans="1:2" x14ac:dyDescent="0.35">
      <c r="A20" s="3" t="s">
        <v>19</v>
      </c>
      <c r="B20" s="3" t="str">
        <f>RIGHT(Table1[[#This Row],[sales_id]],3)</f>
        <v>019</v>
      </c>
    </row>
    <row r="21" spans="1:2" x14ac:dyDescent="0.35">
      <c r="A21" s="3" t="s">
        <v>20</v>
      </c>
      <c r="B21" s="3" t="str">
        <f>RIGHT(Table1[[#This Row],[sales_id]],3)</f>
        <v>020</v>
      </c>
    </row>
    <row r="22" spans="1:2" x14ac:dyDescent="0.35">
      <c r="A22" s="3" t="s">
        <v>21</v>
      </c>
      <c r="B22" s="3" t="str">
        <f>RIGHT(Table1[[#This Row],[sales_id]],3)</f>
        <v>021</v>
      </c>
    </row>
    <row r="23" spans="1:2" x14ac:dyDescent="0.35">
      <c r="A23" s="3" t="s">
        <v>22</v>
      </c>
      <c r="B23" s="3" t="str">
        <f>RIGHT(Table1[[#This Row],[sales_id]],3)</f>
        <v>022</v>
      </c>
    </row>
    <row r="24" spans="1:2" x14ac:dyDescent="0.35">
      <c r="A24" s="3" t="s">
        <v>23</v>
      </c>
      <c r="B24" s="3" t="str">
        <f>RIGHT(Table1[[#This Row],[sales_id]],3)</f>
        <v>023</v>
      </c>
    </row>
    <row r="25" spans="1:2" x14ac:dyDescent="0.35">
      <c r="A25" s="3" t="s">
        <v>24</v>
      </c>
      <c r="B25" s="3" t="str">
        <f>RIGHT(Table1[[#This Row],[sales_id]],3)</f>
        <v>024</v>
      </c>
    </row>
    <row r="26" spans="1:2" x14ac:dyDescent="0.35">
      <c r="A26" s="3" t="s">
        <v>25</v>
      </c>
      <c r="B26" s="3" t="str">
        <f>RIGHT(Table1[[#This Row],[sales_id]],3)</f>
        <v>025</v>
      </c>
    </row>
    <row r="27" spans="1:2" x14ac:dyDescent="0.35">
      <c r="A27" s="3" t="s">
        <v>26</v>
      </c>
      <c r="B27" s="3" t="str">
        <f>RIGHT(Table1[[#This Row],[sales_id]],3)</f>
        <v>026</v>
      </c>
    </row>
    <row r="28" spans="1:2" x14ac:dyDescent="0.35">
      <c r="A28" s="3" t="s">
        <v>27</v>
      </c>
      <c r="B28" s="3" t="str">
        <f>RIGHT(Table1[[#This Row],[sales_id]],3)</f>
        <v>027</v>
      </c>
    </row>
    <row r="29" spans="1:2" x14ac:dyDescent="0.35">
      <c r="A29" s="3" t="s">
        <v>28</v>
      </c>
      <c r="B29" s="3" t="str">
        <f>RIGHT(Table1[[#This Row],[sales_id]],3)</f>
        <v>028</v>
      </c>
    </row>
    <row r="30" spans="1:2" x14ac:dyDescent="0.35">
      <c r="A30" s="3" t="s">
        <v>29</v>
      </c>
      <c r="B30" s="3" t="str">
        <f>RIGHT(Table1[[#This Row],[sales_id]],3)</f>
        <v>029</v>
      </c>
    </row>
    <row r="31" spans="1:2" x14ac:dyDescent="0.35">
      <c r="A31" s="3" t="s">
        <v>30</v>
      </c>
      <c r="B31" s="3" t="str">
        <f>RIGHT(Table1[[#This Row],[sales_id]],3)</f>
        <v>030</v>
      </c>
    </row>
    <row r="32" spans="1:2" x14ac:dyDescent="0.35">
      <c r="A32" s="3" t="s">
        <v>31</v>
      </c>
      <c r="B32" s="3" t="str">
        <f>RIGHT(Table1[[#This Row],[sales_id]],3)</f>
        <v>031</v>
      </c>
    </row>
    <row r="33" spans="1:2" x14ac:dyDescent="0.35">
      <c r="A33" s="3" t="s">
        <v>32</v>
      </c>
      <c r="B33" s="3" t="str">
        <f>RIGHT(Table1[[#This Row],[sales_id]],3)</f>
        <v>032</v>
      </c>
    </row>
    <row r="34" spans="1:2" x14ac:dyDescent="0.35">
      <c r="A34" s="3" t="s">
        <v>33</v>
      </c>
      <c r="B34" s="3" t="str">
        <f>RIGHT(Table1[[#This Row],[sales_id]],3)</f>
        <v>033</v>
      </c>
    </row>
    <row r="35" spans="1:2" x14ac:dyDescent="0.35">
      <c r="A35" s="3" t="s">
        <v>34</v>
      </c>
      <c r="B35" s="3" t="str">
        <f>RIGHT(Table1[[#This Row],[sales_id]],3)</f>
        <v>034</v>
      </c>
    </row>
    <row r="36" spans="1:2" x14ac:dyDescent="0.35">
      <c r="A36" s="3" t="s">
        <v>35</v>
      </c>
      <c r="B36" s="3" t="str">
        <f>RIGHT(Table1[[#This Row],[sales_id]],3)</f>
        <v>035</v>
      </c>
    </row>
    <row r="37" spans="1:2" x14ac:dyDescent="0.35">
      <c r="A37" s="3" t="s">
        <v>36</v>
      </c>
      <c r="B37" s="3" t="str">
        <f>RIGHT(Table1[[#This Row],[sales_id]],3)</f>
        <v>036</v>
      </c>
    </row>
    <row r="38" spans="1:2" x14ac:dyDescent="0.35">
      <c r="A38" s="3" t="s">
        <v>37</v>
      </c>
      <c r="B38" s="3" t="str">
        <f>RIGHT(Table1[[#This Row],[sales_id]],3)</f>
        <v>037</v>
      </c>
    </row>
    <row r="39" spans="1:2" x14ac:dyDescent="0.35">
      <c r="A39" s="3" t="s">
        <v>38</v>
      </c>
      <c r="B39" s="3" t="str">
        <f>RIGHT(Table1[[#This Row],[sales_id]],3)</f>
        <v>038</v>
      </c>
    </row>
    <row r="40" spans="1:2" x14ac:dyDescent="0.35">
      <c r="A40" s="3" t="s">
        <v>39</v>
      </c>
      <c r="B40" s="3" t="str">
        <f>RIGHT(Table1[[#This Row],[sales_id]],3)</f>
        <v>039</v>
      </c>
    </row>
    <row r="41" spans="1:2" x14ac:dyDescent="0.35">
      <c r="A41" s="3" t="s">
        <v>40</v>
      </c>
      <c r="B41" s="3" t="str">
        <f>RIGHT(Table1[[#This Row],[sales_id]],3)</f>
        <v>040</v>
      </c>
    </row>
    <row r="42" spans="1:2" x14ac:dyDescent="0.35">
      <c r="A42" s="3" t="s">
        <v>41</v>
      </c>
      <c r="B42" s="3" t="str">
        <f>RIGHT(Table1[[#This Row],[sales_id]],3)</f>
        <v>041</v>
      </c>
    </row>
    <row r="43" spans="1:2" x14ac:dyDescent="0.35">
      <c r="A43" s="3" t="s">
        <v>42</v>
      </c>
      <c r="B43" s="3" t="str">
        <f>RIGHT(Table1[[#This Row],[sales_id]],3)</f>
        <v>042</v>
      </c>
    </row>
    <row r="44" spans="1:2" x14ac:dyDescent="0.35">
      <c r="A44" s="3" t="s">
        <v>43</v>
      </c>
      <c r="B44" s="3" t="str">
        <f>RIGHT(Table1[[#This Row],[sales_id]],3)</f>
        <v>043</v>
      </c>
    </row>
    <row r="45" spans="1:2" x14ac:dyDescent="0.35">
      <c r="A45" s="3" t="s">
        <v>44</v>
      </c>
      <c r="B45" s="3" t="str">
        <f>RIGHT(Table1[[#This Row],[sales_id]],3)</f>
        <v>044</v>
      </c>
    </row>
    <row r="46" spans="1:2" x14ac:dyDescent="0.35">
      <c r="A46" s="3" t="s">
        <v>45</v>
      </c>
      <c r="B46" s="3" t="str">
        <f>RIGHT(Table1[[#This Row],[sales_id]],3)</f>
        <v>045</v>
      </c>
    </row>
    <row r="47" spans="1:2" x14ac:dyDescent="0.35">
      <c r="A47" s="3" t="s">
        <v>46</v>
      </c>
      <c r="B47" s="3" t="str">
        <f>RIGHT(Table1[[#This Row],[sales_id]],3)</f>
        <v>046</v>
      </c>
    </row>
    <row r="48" spans="1:2" x14ac:dyDescent="0.35">
      <c r="A48" s="3" t="s">
        <v>47</v>
      </c>
      <c r="B48" s="3" t="str">
        <f>RIGHT(Table1[[#This Row],[sales_id]],3)</f>
        <v>047</v>
      </c>
    </row>
    <row r="49" spans="1:2" x14ac:dyDescent="0.35">
      <c r="A49" s="3" t="s">
        <v>48</v>
      </c>
      <c r="B49" s="3" t="str">
        <f>RIGHT(Table1[[#This Row],[sales_id]],3)</f>
        <v>048</v>
      </c>
    </row>
    <row r="50" spans="1:2" x14ac:dyDescent="0.35">
      <c r="A50" s="3" t="s">
        <v>49</v>
      </c>
      <c r="B50" s="3" t="str">
        <f>RIGHT(Table1[[#This Row],[sales_id]],3)</f>
        <v>049</v>
      </c>
    </row>
    <row r="51" spans="1:2" x14ac:dyDescent="0.35">
      <c r="A51" s="3" t="s">
        <v>50</v>
      </c>
      <c r="B51" s="3" t="str">
        <f>RIGHT(Table1[[#This Row],[sales_id]],3)</f>
        <v>050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DBBA1-4881-4DFE-A8F1-C06B759A29A8}">
  <sheetPr codeName="Sheet1"/>
  <dimension ref="A1:J51"/>
  <sheetViews>
    <sheetView tabSelected="1" topLeftCell="E28" zoomScale="145" zoomScaleNormal="145" workbookViewId="0">
      <selection activeCell="H36" sqref="H36"/>
    </sheetView>
  </sheetViews>
  <sheetFormatPr defaultRowHeight="14.5" x14ac:dyDescent="0.35"/>
  <cols>
    <col min="1" max="1" width="13.83203125" style="10" bestFit="1" customWidth="1"/>
    <col min="2" max="2" width="17.1640625" style="10" bestFit="1" customWidth="1"/>
    <col min="3" max="3" width="12.4140625" style="10" bestFit="1" customWidth="1"/>
    <col min="4" max="4" width="16.33203125" style="10" bestFit="1" customWidth="1"/>
    <col min="5" max="5" width="21.4140625" style="10" bestFit="1" customWidth="1"/>
    <col min="6" max="6" width="17.33203125" style="10" bestFit="1" customWidth="1"/>
    <col min="7" max="8" width="8.6640625" style="10"/>
    <col min="9" max="9" width="14.6640625" style="10" bestFit="1" customWidth="1"/>
    <col min="10" max="10" width="20.5" style="10" customWidth="1"/>
    <col min="11" max="16384" width="8.6640625" style="10"/>
  </cols>
  <sheetData>
    <row r="1" spans="1:7" ht="20.100000000000001" customHeight="1" x14ac:dyDescent="0.35">
      <c r="A1" s="9" t="s">
        <v>52</v>
      </c>
      <c r="B1" s="9" t="s">
        <v>53</v>
      </c>
      <c r="C1" s="9" t="s">
        <v>141</v>
      </c>
      <c r="D1" s="9" t="s">
        <v>245</v>
      </c>
      <c r="E1" s="9" t="s">
        <v>296</v>
      </c>
      <c r="F1" s="9" t="s">
        <v>347</v>
      </c>
      <c r="G1" s="9" t="s">
        <v>348</v>
      </c>
    </row>
    <row r="2" spans="1:7" x14ac:dyDescent="0.35">
      <c r="A2" s="11" t="s">
        <v>54</v>
      </c>
      <c r="B2" s="11" t="s">
        <v>55</v>
      </c>
      <c r="C2" s="11" t="str">
        <f>LEFT(Table2[[#This Row],[Product Name]],5)</f>
        <v>Lapto</v>
      </c>
      <c r="D2" s="11" t="s">
        <v>246</v>
      </c>
      <c r="E2" s="11" t="str">
        <f>REPLACE(Table2[[#This Row],[Product Code]],FIND("2",Table2[[#This Row],[Product Code]]),4,"2024")</f>
        <v>LP15-2024-001</v>
      </c>
      <c r="F2" s="11" t="s">
        <v>297</v>
      </c>
      <c r="G2" s="11" t="str">
        <f>RIGHT(Table2[[#This Row],[product-brand]],LEN(Table2[[#This Row],[product-brand]])-FIND("–",Table2[[#This Row],[product-brand]]))</f>
        <v xml:space="preserve"> Dell</v>
      </c>
    </row>
    <row r="3" spans="1:7" x14ac:dyDescent="0.35">
      <c r="A3" s="11" t="s">
        <v>56</v>
      </c>
      <c r="B3" s="11" t="s">
        <v>57</v>
      </c>
      <c r="C3" s="11" t="str">
        <f>LEFT(Table2[[#This Row],[Product Name]],5)</f>
        <v>Lapto</v>
      </c>
      <c r="D3" s="11" t="s">
        <v>247</v>
      </c>
      <c r="E3" s="11" t="str">
        <f>REPLACE(Table2[[#This Row],[Product Code]],FIND("2",Table2[[#This Row],[Product Code]]),4,"2024")</f>
        <v>LA13-2024-002</v>
      </c>
      <c r="F3" s="11" t="s">
        <v>298</v>
      </c>
      <c r="G3" s="11" t="str">
        <f>RIGHT(Table2[[#This Row],[product-brand]],LEN(Table2[[#This Row],[product-brand]])-FIND("–",Table2[[#This Row],[product-brand]]))</f>
        <v xml:space="preserve"> Apple</v>
      </c>
    </row>
    <row r="4" spans="1:7" x14ac:dyDescent="0.35">
      <c r="A4" s="11" t="s">
        <v>58</v>
      </c>
      <c r="B4" s="11" t="s">
        <v>59</v>
      </c>
      <c r="C4" s="11" t="str">
        <f>LEFT(Table2[[#This Row],[Product Name]],5)</f>
        <v>Gamin</v>
      </c>
      <c r="D4" s="11" t="s">
        <v>248</v>
      </c>
      <c r="E4" s="11" t="str">
        <f>REPLACE(Table2[[#This Row],[Product Code]],FIND("2",Table2[[#This Row],[Product Code]]),4,"2024")</f>
        <v>GLX-2024-003</v>
      </c>
      <c r="F4" s="11" t="s">
        <v>299</v>
      </c>
      <c r="G4" s="11" t="str">
        <f>RIGHT(Table2[[#This Row],[product-brand]],LEN(Table2[[#This Row],[product-brand]])-FIND("–",Table2[[#This Row],[product-brand]]))</f>
        <v xml:space="preserve"> ASUS</v>
      </c>
    </row>
    <row r="5" spans="1:7" x14ac:dyDescent="0.35">
      <c r="A5" s="11" t="s">
        <v>60</v>
      </c>
      <c r="B5" s="11" t="s">
        <v>55</v>
      </c>
      <c r="C5" s="11" t="str">
        <f>LEFT(Table2[[#This Row],[Product Name]],5)</f>
        <v>Lapto</v>
      </c>
      <c r="D5" s="11" t="s">
        <v>249</v>
      </c>
      <c r="E5" s="11" t="str">
        <f>REPLACE(Table2[[#This Row],[Product Code]],FIND("2",Table2[[#This Row],[Product Code]]),4,"2024")</f>
        <v>LP15-2024-004</v>
      </c>
      <c r="F5" s="11" t="s">
        <v>300</v>
      </c>
      <c r="G5" s="11" t="str">
        <f>RIGHT(Table2[[#This Row],[product-brand]],LEN(Table2[[#This Row],[product-brand]])-FIND("–",Table2[[#This Row],[product-brand]]))</f>
        <v xml:space="preserve"> HP</v>
      </c>
    </row>
    <row r="6" spans="1:7" x14ac:dyDescent="0.35">
      <c r="A6" s="11" t="s">
        <v>61</v>
      </c>
      <c r="B6" s="11" t="s">
        <v>62</v>
      </c>
      <c r="C6" s="11" t="str">
        <f>LEFT(Table2[[#This Row],[Product Name]],5)</f>
        <v>Deskt</v>
      </c>
      <c r="D6" s="11" t="s">
        <v>250</v>
      </c>
      <c r="E6" s="11" t="str">
        <f>REPLACE(Table2[[#This Row],[Product Code]],FIND("2",Table2[[#This Row],[Product Code]]),4,"2024")</f>
        <v>DPM-2024-005</v>
      </c>
      <c r="F6" s="11" t="s">
        <v>301</v>
      </c>
      <c r="G6" s="11" t="str">
        <f>RIGHT(Table2[[#This Row],[product-brand]],LEN(Table2[[#This Row],[product-brand]])-FIND("–",Table2[[#This Row],[product-brand]]))</f>
        <v xml:space="preserve"> Lenovo</v>
      </c>
    </row>
    <row r="7" spans="1:7" x14ac:dyDescent="0.35">
      <c r="A7" s="11" t="s">
        <v>63</v>
      </c>
      <c r="B7" s="11" t="s">
        <v>64</v>
      </c>
      <c r="C7" s="11" t="str">
        <f>LEFT(Table2[[#This Row],[Product Name]],5)</f>
        <v>Deskt</v>
      </c>
      <c r="D7" s="11" t="s">
        <v>251</v>
      </c>
      <c r="E7" s="11" t="str">
        <f>REPLACE(Table2[[#This Row],[Product Code]],FIND("2",Table2[[#This Row],[Product Code]]),4,"2024")</f>
        <v>DPT-2024-006</v>
      </c>
      <c r="F7" s="11" t="s">
        <v>302</v>
      </c>
      <c r="G7" s="11" t="str">
        <f>RIGHT(Table2[[#This Row],[product-brand]],LEN(Table2[[#This Row],[product-brand]])-FIND("–",Table2[[#This Row],[product-brand]]))</f>
        <v xml:space="preserve"> Acer</v>
      </c>
    </row>
    <row r="8" spans="1:7" x14ac:dyDescent="0.35">
      <c r="A8" s="11" t="s">
        <v>65</v>
      </c>
      <c r="B8" s="11" t="s">
        <v>66</v>
      </c>
      <c r="C8" s="11" t="str">
        <f>LEFT(Table2[[#This Row],[Product Name]],5)</f>
        <v>Wirel</v>
      </c>
      <c r="D8" s="11" t="s">
        <v>252</v>
      </c>
      <c r="E8" s="11" t="str">
        <f>REPLACE(Table2[[#This Row],[Product Code]],FIND("2",Table2[[#This Row],[Product Code]]),4,"2024")</f>
        <v>WM-2024-007</v>
      </c>
      <c r="F8" s="11" t="s">
        <v>303</v>
      </c>
      <c r="G8" s="11" t="str">
        <f>RIGHT(Table2[[#This Row],[product-brand]],LEN(Table2[[#This Row],[product-brand]])-FIND("–",Table2[[#This Row],[product-brand]]))</f>
        <v xml:space="preserve"> Logitech</v>
      </c>
    </row>
    <row r="9" spans="1:7" x14ac:dyDescent="0.35">
      <c r="A9" s="11" t="s">
        <v>67</v>
      </c>
      <c r="B9" s="11" t="s">
        <v>66</v>
      </c>
      <c r="C9" s="11" t="str">
        <f>LEFT(Table2[[#This Row],[Product Name]],5)</f>
        <v>Wirel</v>
      </c>
      <c r="D9" s="11" t="s">
        <v>253</v>
      </c>
      <c r="E9" s="11" t="str">
        <f>REPLACE(Table2[[#This Row],[Product Code]],FIND("2",Table2[[#This Row],[Product Code]]),4,"2024")</f>
        <v>WM-2024-008</v>
      </c>
      <c r="F9" s="11" t="s">
        <v>304</v>
      </c>
      <c r="G9" s="11" t="str">
        <f>RIGHT(Table2[[#This Row],[product-brand]],LEN(Table2[[#This Row],[product-brand]])-FIND("–",Table2[[#This Row],[product-brand]]))</f>
        <v xml:space="preserve"> Dell</v>
      </c>
    </row>
    <row r="10" spans="1:7" x14ac:dyDescent="0.35">
      <c r="A10" s="11" t="s">
        <v>68</v>
      </c>
      <c r="B10" s="11" t="s">
        <v>69</v>
      </c>
      <c r="C10" s="11" t="str">
        <f>LEFT(Table2[[#This Row],[Product Name]],5)</f>
        <v>Wirel</v>
      </c>
      <c r="D10" s="11" t="s">
        <v>254</v>
      </c>
      <c r="E10" s="11" t="str">
        <f>REPLACE(Table2[[#This Row],[Product Code]],FIND("2",Table2[[#This Row],[Product Code]]),4,"2024")</f>
        <v>WK-2024-009</v>
      </c>
      <c r="F10" s="11" t="s">
        <v>305</v>
      </c>
      <c r="G10" s="11" t="str">
        <f>RIGHT(Table2[[#This Row],[product-brand]],LEN(Table2[[#This Row],[product-brand]])-FIND("–",Table2[[#This Row],[product-brand]]))</f>
        <v xml:space="preserve"> Logitech</v>
      </c>
    </row>
    <row r="11" spans="1:7" x14ac:dyDescent="0.35">
      <c r="A11" s="11" t="s">
        <v>70</v>
      </c>
      <c r="B11" s="11" t="s">
        <v>71</v>
      </c>
      <c r="C11" s="11" t="str">
        <f>LEFT(Table2[[#This Row],[Product Name]],5)</f>
        <v>Bluet</v>
      </c>
      <c r="D11" s="11" t="s">
        <v>255</v>
      </c>
      <c r="E11" s="11" t="str">
        <f>REPLACE(Table2[[#This Row],[Product Code]],FIND("2",Table2[[#This Row],[Product Code]]),4,"2024")</f>
        <v>BH-2024-010</v>
      </c>
      <c r="F11" s="11" t="s">
        <v>306</v>
      </c>
      <c r="G11" s="11" t="str">
        <f>RIGHT(Table2[[#This Row],[product-brand]],LEN(Table2[[#This Row],[product-brand]])-FIND("–",Table2[[#This Row],[product-brand]]))</f>
        <v xml:space="preserve"> Sony</v>
      </c>
    </row>
    <row r="12" spans="1:7" x14ac:dyDescent="0.35">
      <c r="A12" s="11" t="s">
        <v>72</v>
      </c>
      <c r="B12" s="11" t="s">
        <v>71</v>
      </c>
      <c r="C12" s="11" t="str">
        <f>LEFT(Table2[[#This Row],[Product Name]],5)</f>
        <v>Bluet</v>
      </c>
      <c r="D12" s="11" t="s">
        <v>256</v>
      </c>
      <c r="E12" s="11" t="str">
        <f>REPLACE(Table2[[#This Row],[Product Code]],FIND("2",Table2[[#This Row],[Product Code]]),4,"2024")</f>
        <v>BH-2024-011</v>
      </c>
      <c r="F12" s="11" t="s">
        <v>307</v>
      </c>
      <c r="G12" s="11" t="str">
        <f>RIGHT(Table2[[#This Row],[product-brand]],LEN(Table2[[#This Row],[product-brand]])-FIND("–",Table2[[#This Row],[product-brand]]))</f>
        <v xml:space="preserve"> JBL</v>
      </c>
    </row>
    <row r="13" spans="1:7" x14ac:dyDescent="0.35">
      <c r="A13" s="11" t="s">
        <v>73</v>
      </c>
      <c r="B13" s="11" t="s">
        <v>74</v>
      </c>
      <c r="C13" s="11" t="str">
        <f>LEFT(Table2[[#This Row],[Product Name]],5)</f>
        <v>Gamin</v>
      </c>
      <c r="D13" s="11" t="s">
        <v>257</v>
      </c>
      <c r="E13" s="11" t="str">
        <f>REPLACE(Table2[[#This Row],[Product Code]],FIND("2",Table2[[#This Row],[Product Code]]),4,"2024")</f>
        <v>GH-2024-012</v>
      </c>
      <c r="F13" s="11" t="s">
        <v>308</v>
      </c>
      <c r="G13" s="11" t="str">
        <f>RIGHT(Table2[[#This Row],[product-brand]],LEN(Table2[[#This Row],[product-brand]])-FIND("–",Table2[[#This Row],[product-brand]]))</f>
        <v xml:space="preserve"> HyperX</v>
      </c>
    </row>
    <row r="14" spans="1:7" x14ac:dyDescent="0.35">
      <c r="A14" s="11" t="s">
        <v>75</v>
      </c>
      <c r="B14" s="11" t="s">
        <v>76</v>
      </c>
      <c r="C14" s="11" t="str">
        <f>LEFT(Table2[[#This Row],[Product Name]],5)</f>
        <v>USB-C</v>
      </c>
      <c r="D14" s="11" t="s">
        <v>258</v>
      </c>
      <c r="E14" s="11" t="str">
        <f>REPLACE(Table2[[#This Row],[Product Code]],FIND("2",Table2[[#This Row],[Product Code]]),4,"2024")</f>
        <v>UC65-2024-013</v>
      </c>
      <c r="F14" s="11" t="s">
        <v>309</v>
      </c>
      <c r="G14" s="11" t="str">
        <f>RIGHT(Table2[[#This Row],[product-brand]],LEN(Table2[[#This Row],[product-brand]])-FIND("–",Table2[[#This Row],[product-brand]]))</f>
        <v xml:space="preserve"> Anker</v>
      </c>
    </row>
    <row r="15" spans="1:7" x14ac:dyDescent="0.35">
      <c r="A15" s="11" t="s">
        <v>77</v>
      </c>
      <c r="B15" s="11" t="s">
        <v>78</v>
      </c>
      <c r="C15" s="11" t="str">
        <f>LEFT(Table2[[#This Row],[Product Name]],5)</f>
        <v>USB-C</v>
      </c>
      <c r="D15" s="11" t="s">
        <v>259</v>
      </c>
      <c r="E15" s="11" t="str">
        <f>REPLACE(Table2[[#This Row],[Product Code]],FIND("2",Table2[[#This Row],[Product Code]]),4,"2024")</f>
        <v>UC30-2024-014</v>
      </c>
      <c r="F15" s="11" t="s">
        <v>310</v>
      </c>
      <c r="G15" s="11" t="str">
        <f>RIGHT(Table2[[#This Row],[product-brand]],LEN(Table2[[#This Row],[product-brand]])-FIND("–",Table2[[#This Row],[product-brand]]))</f>
        <v xml:space="preserve"> Samsung</v>
      </c>
    </row>
    <row r="16" spans="1:7" x14ac:dyDescent="0.35">
      <c r="A16" s="11" t="s">
        <v>79</v>
      </c>
      <c r="B16" s="11" t="s">
        <v>76</v>
      </c>
      <c r="C16" s="11" t="str">
        <f>LEFT(Table2[[#This Row],[Product Name]],5)</f>
        <v>USB-C</v>
      </c>
      <c r="D16" s="11" t="s">
        <v>260</v>
      </c>
      <c r="E16" s="11" t="str">
        <f>REPLACE(Table2[[#This Row],[Product Code]],FIND("2",Table2[[#This Row],[Product Code]]),4,"2024")</f>
        <v>UC65-2024-015</v>
      </c>
      <c r="F16" s="11" t="s">
        <v>311</v>
      </c>
      <c r="G16" s="11" t="str">
        <f>RIGHT(Table2[[#This Row],[product-brand]],LEN(Table2[[#This Row],[product-brand]])-FIND("–",Table2[[#This Row],[product-brand]]))</f>
        <v xml:space="preserve"> Apple</v>
      </c>
    </row>
    <row r="17" spans="1:10" x14ac:dyDescent="0.35">
      <c r="A17" s="11" t="s">
        <v>80</v>
      </c>
      <c r="B17" s="11" t="s">
        <v>81</v>
      </c>
      <c r="C17" s="11" t="str">
        <f>LEFT(Table2[[#This Row],[Product Name]],5)</f>
        <v>Smart</v>
      </c>
      <c r="D17" s="11" t="s">
        <v>261</v>
      </c>
      <c r="E17" s="11" t="str">
        <f>REPLACE(Table2[[#This Row],[Product Code]],FIND("2",Table2[[#This Row],[Product Code]]),4,"2024")</f>
        <v>SW1-2024-016</v>
      </c>
      <c r="F17" s="11" t="s">
        <v>312</v>
      </c>
      <c r="G17" s="11" t="str">
        <f>RIGHT(Table2[[#This Row],[product-brand]],LEN(Table2[[#This Row],[product-brand]])-FIND("–",Table2[[#This Row],[product-brand]]))</f>
        <v xml:space="preserve"> Samsung</v>
      </c>
    </row>
    <row r="18" spans="1:10" x14ac:dyDescent="0.35">
      <c r="A18" s="11" t="s">
        <v>82</v>
      </c>
      <c r="B18" s="11" t="s">
        <v>83</v>
      </c>
      <c r="C18" s="11" t="str">
        <f>LEFT(Table2[[#This Row],[Product Name]],5)</f>
        <v>Smart</v>
      </c>
      <c r="D18" s="11" t="s">
        <v>262</v>
      </c>
      <c r="E18" s="11" t="str">
        <f>REPLACE(Table2[[#This Row],[Product Code]],FIND("2",Table2[[#This Row],[Product Code]]),4,"2024")</f>
        <v>SFP-2024-017</v>
      </c>
      <c r="F18" s="11" t="s">
        <v>313</v>
      </c>
      <c r="G18" s="11" t="str">
        <f>RIGHT(Table2[[#This Row],[product-brand]],LEN(Table2[[#This Row],[product-brand]])-FIND("–",Table2[[#This Row],[product-brand]]))</f>
        <v xml:space="preserve"> Xiaomi</v>
      </c>
    </row>
    <row r="19" spans="1:10" x14ac:dyDescent="0.35">
      <c r="A19" s="11" t="s">
        <v>84</v>
      </c>
      <c r="B19" s="11" t="s">
        <v>81</v>
      </c>
      <c r="C19" s="11" t="str">
        <f>LEFT(Table2[[#This Row],[Product Name]],5)</f>
        <v>Smart</v>
      </c>
      <c r="D19" s="11" t="s">
        <v>263</v>
      </c>
      <c r="E19" s="11" t="str">
        <f>REPLACE(Table2[[#This Row],[Product Code]],FIND("2",Table2[[#This Row],[Product Code]]),4,"2024")</f>
        <v>SW1-2024-018</v>
      </c>
      <c r="F19" s="11" t="s">
        <v>314</v>
      </c>
      <c r="G19" s="11" t="str">
        <f>RIGHT(Table2[[#This Row],[product-brand]],LEN(Table2[[#This Row],[product-brand]])-FIND("–",Table2[[#This Row],[product-brand]]))</f>
        <v xml:space="preserve"> Apple</v>
      </c>
    </row>
    <row r="20" spans="1:10" x14ac:dyDescent="0.35">
      <c r="A20" s="11" t="s">
        <v>85</v>
      </c>
      <c r="B20" s="11" t="s">
        <v>86</v>
      </c>
      <c r="C20" s="11" t="str">
        <f>LEFT(Table2[[#This Row],[Product Name]],5)</f>
        <v>Fitne</v>
      </c>
      <c r="D20" s="11" t="s">
        <v>264</v>
      </c>
      <c r="E20" s="11" t="str">
        <f>REPLACE(Table2[[#This Row],[Product Code]],FIND("2",Table2[[#This Row],[Product Code]]),4,"2024")</f>
        <v>FBL-2024-019</v>
      </c>
      <c r="F20" s="11" t="s">
        <v>315</v>
      </c>
      <c r="G20" s="11" t="str">
        <f>RIGHT(Table2[[#This Row],[product-brand]],LEN(Table2[[#This Row],[product-brand]])-FIND("–",Table2[[#This Row],[product-brand]]))</f>
        <v xml:space="preserve"> Fitbit</v>
      </c>
    </row>
    <row r="21" spans="1:10" x14ac:dyDescent="0.35">
      <c r="A21" s="11" t="s">
        <v>87</v>
      </c>
      <c r="B21" s="11" t="s">
        <v>88</v>
      </c>
      <c r="C21" s="11" t="str">
        <f>LEFT(Table2[[#This Row],[Product Name]],5)</f>
        <v>Table</v>
      </c>
      <c r="D21" s="11" t="s">
        <v>265</v>
      </c>
      <c r="E21" s="11" t="str">
        <f>REPLACE(Table2[[#This Row],[Product Code]],FIND("2",Table2[[#This Row],[Product Code]]),4,"2024")</f>
        <v>TA10-2024-020</v>
      </c>
      <c r="F21" s="11" t="s">
        <v>316</v>
      </c>
      <c r="G21" s="11" t="str">
        <f>RIGHT(Table2[[#This Row],[product-brand]],LEN(Table2[[#This Row],[product-brand]])-FIND("–",Table2[[#This Row],[product-brand]]))</f>
        <v xml:space="preserve"> Samsung</v>
      </c>
    </row>
    <row r="22" spans="1:10" x14ac:dyDescent="0.35">
      <c r="A22" s="11" t="s">
        <v>89</v>
      </c>
      <c r="B22" s="11" t="s">
        <v>90</v>
      </c>
      <c r="C22" s="11" t="str">
        <f>LEFT(Table2[[#This Row],[Product Name]],5)</f>
        <v>Table</v>
      </c>
      <c r="D22" s="11" t="s">
        <v>266</v>
      </c>
      <c r="E22" s="11" t="str">
        <f>REPLACE(Table2[[#This Row],[Product Code]],FIND("2",Table2[[#This Row],[Product Code]]),4,"2024")</f>
        <v>TA10P-2024-021</v>
      </c>
      <c r="F22" s="11" t="s">
        <v>317</v>
      </c>
      <c r="G22" s="11" t="str">
        <f>RIGHT(Table2[[#This Row],[product-brand]],LEN(Table2[[#This Row],[product-brand]])-FIND("–",Table2[[#This Row],[product-brand]]))</f>
        <v xml:space="preserve"> Apple</v>
      </c>
    </row>
    <row r="23" spans="1:10" x14ac:dyDescent="0.35">
      <c r="A23" s="11" t="s">
        <v>91</v>
      </c>
      <c r="B23" s="11" t="s">
        <v>88</v>
      </c>
      <c r="C23" s="11" t="str">
        <f>LEFT(Table2[[#This Row],[Product Name]],5)</f>
        <v>Table</v>
      </c>
      <c r="D23" s="11" t="s">
        <v>267</v>
      </c>
      <c r="E23" s="11" t="str">
        <f>REPLACE(Table2[[#This Row],[Product Code]],FIND("2",Table2[[#This Row],[Product Code]]),4,"2024")</f>
        <v>TA10-2024-022</v>
      </c>
      <c r="F23" s="11" t="s">
        <v>318</v>
      </c>
      <c r="G23" s="11" t="str">
        <f>RIGHT(Table2[[#This Row],[product-brand]],LEN(Table2[[#This Row],[product-brand]])-FIND("–",Table2[[#This Row],[product-brand]]))</f>
        <v xml:space="preserve"> Lenovo</v>
      </c>
      <c r="I23" s="10" t="s">
        <v>406</v>
      </c>
      <c r="J23" s="10" t="s">
        <v>407</v>
      </c>
    </row>
    <row r="24" spans="1:10" x14ac:dyDescent="0.35">
      <c r="A24" s="11" t="s">
        <v>92</v>
      </c>
      <c r="B24" s="11" t="s">
        <v>93</v>
      </c>
      <c r="C24" s="11" t="str">
        <f>LEFT(Table2[[#This Row],[Product Name]],5)</f>
        <v>Smart</v>
      </c>
      <c r="D24" s="11" t="s">
        <v>268</v>
      </c>
      <c r="E24" s="11" t="str">
        <f>REPLACE(Table2[[#This Row],[Product Code]],FIND("2",Table2[[#This Row],[Product Code]]),4,"2024")</f>
        <v>SM2024024-023</v>
      </c>
      <c r="F24" s="11" t="s">
        <v>319</v>
      </c>
      <c r="G24" s="11" t="str">
        <f>RIGHT(Table2[[#This Row],[product-brand]],LEN(Table2[[#This Row],[product-brand]])-FIND("–",Table2[[#This Row],[product-brand]]))</f>
        <v xml:space="preserve"> Samsung</v>
      </c>
      <c r="I24" s="10" t="s">
        <v>267</v>
      </c>
      <c r="J24" s="10" t="str">
        <f>INDEX(Table2[Product Name],MATCH(Table6[[#This Row],[values ]],Table2[Product Code],0))</f>
        <v>Tablet A10</v>
      </c>
    </row>
    <row r="25" spans="1:10" x14ac:dyDescent="0.35">
      <c r="A25" s="11" t="s">
        <v>94</v>
      </c>
      <c r="B25" s="11" t="s">
        <v>95</v>
      </c>
      <c r="C25" s="11" t="str">
        <f>LEFT(Table2[[#This Row],[Product Name]],5)</f>
        <v>Smart</v>
      </c>
      <c r="D25" s="11" t="s">
        <v>269</v>
      </c>
      <c r="E25" s="11" t="str">
        <f>REPLACE(Table2[[#This Row],[Product Code]],FIND("2",Table2[[#This Row],[Product Code]]),4,"2024")</f>
        <v>SM20242023-024</v>
      </c>
      <c r="F25" s="11" t="s">
        <v>320</v>
      </c>
      <c r="G25" s="11" t="str">
        <f>RIGHT(Table2[[#This Row],[product-brand]],LEN(Table2[[#This Row],[product-brand]])-FIND("–",Table2[[#This Row],[product-brand]]))</f>
        <v xml:space="preserve"> Samsung</v>
      </c>
      <c r="I25" s="10" t="s">
        <v>268</v>
      </c>
      <c r="J25" s="10" t="str">
        <f>INDEX(Table2[Product Name],MATCH(Table6[[#This Row],[values ]],Table2[Product Code],0))</f>
        <v>Smartphone M20</v>
      </c>
    </row>
    <row r="26" spans="1:10" x14ac:dyDescent="0.35">
      <c r="A26" s="11" t="s">
        <v>96</v>
      </c>
      <c r="B26" s="11" t="s">
        <v>93</v>
      </c>
      <c r="C26" s="11" t="str">
        <f>LEFT(Table2[[#This Row],[Product Name]],5)</f>
        <v>Smart</v>
      </c>
      <c r="D26" s="11" t="s">
        <v>270</v>
      </c>
      <c r="E26" s="11" t="str">
        <f>REPLACE(Table2[[#This Row],[Product Code]],FIND("2",Table2[[#This Row],[Product Code]]),4,"2024")</f>
        <v>SM2024023-025</v>
      </c>
      <c r="F26" s="11" t="s">
        <v>321</v>
      </c>
      <c r="G26" s="11" t="str">
        <f>RIGHT(Table2[[#This Row],[product-brand]],LEN(Table2[[#This Row],[product-brand]])-FIND("–",Table2[[#This Row],[product-brand]]))</f>
        <v xml:space="preserve"> Xiaomi</v>
      </c>
      <c r="I26" s="10" t="s">
        <v>269</v>
      </c>
      <c r="J26" s="10" t="str">
        <f>INDEX(Table2[Product Name],MATCH(Table6[[#This Row],[values ]],Table2[Product Code],0))</f>
        <v>Smartphone M20 Plus</v>
      </c>
    </row>
    <row r="27" spans="1:10" x14ac:dyDescent="0.35">
      <c r="A27" s="11" t="s">
        <v>97</v>
      </c>
      <c r="B27" s="11" t="s">
        <v>98</v>
      </c>
      <c r="C27" s="11" t="str">
        <f>LEFT(Table2[[#This Row],[Product Name]],5)</f>
        <v>Smart</v>
      </c>
      <c r="D27" s="11" t="s">
        <v>271</v>
      </c>
      <c r="E27" s="11" t="str">
        <f>REPLACE(Table2[[#This Row],[Product Code]],FIND("2",Table2[[#This Row],[Product Code]]),4,"2024")</f>
        <v>SMXU-2024-026</v>
      </c>
      <c r="F27" s="11" t="s">
        <v>322</v>
      </c>
      <c r="G27" s="11" t="str">
        <f>RIGHT(Table2[[#This Row],[product-brand]],LEN(Table2[[#This Row],[product-brand]])-FIND("–",Table2[[#This Row],[product-brand]]))</f>
        <v xml:space="preserve"> OnePlus</v>
      </c>
      <c r="I27" s="10" t="s">
        <v>270</v>
      </c>
      <c r="J27" s="10" t="str">
        <f>INDEX(Table2[Product Name],MATCH(Table6[[#This Row],[values ]],Table2[Product Code],0))</f>
        <v>Smartphone M20</v>
      </c>
    </row>
    <row r="28" spans="1:10" x14ac:dyDescent="0.35">
      <c r="A28" s="11" t="s">
        <v>99</v>
      </c>
      <c r="B28" s="11" t="s">
        <v>100</v>
      </c>
      <c r="C28" s="11" t="str">
        <f>LEFT(Table2[[#This Row],[Product Name]],5)</f>
        <v>Bluet</v>
      </c>
      <c r="D28" s="11" t="s">
        <v>272</v>
      </c>
      <c r="E28" s="11" t="str">
        <f>REPLACE(Table2[[#This Row],[Product Code]],FIND("2",Table2[[#This Row],[Product Code]]),4,"2024")</f>
        <v>BSM-2024-027</v>
      </c>
      <c r="F28" s="11" t="s">
        <v>323</v>
      </c>
      <c r="G28" s="11" t="str">
        <f>RIGHT(Table2[[#This Row],[product-brand]],LEN(Table2[[#This Row],[product-brand]])-FIND("–",Table2[[#This Row],[product-brand]]))</f>
        <v xml:space="preserve"> JBL</v>
      </c>
      <c r="I28" s="10" t="s">
        <v>271</v>
      </c>
      <c r="J28" s="10" t="str">
        <f>INDEX(Table2[Product Name],MATCH(Table6[[#This Row],[values ]],Table2[Product Code],0))</f>
        <v>Smartphone Max Ultra</v>
      </c>
    </row>
    <row r="29" spans="1:10" x14ac:dyDescent="0.35">
      <c r="A29" s="11" t="s">
        <v>101</v>
      </c>
      <c r="B29" s="11" t="s">
        <v>102</v>
      </c>
      <c r="C29" s="11" t="str">
        <f>LEFT(Table2[[#This Row],[Product Name]],5)</f>
        <v>Bluet</v>
      </c>
      <c r="D29" s="11" t="s">
        <v>273</v>
      </c>
      <c r="E29" s="11" t="str">
        <f>REPLACE(Table2[[#This Row],[Product Code]],FIND("2",Table2[[#This Row],[Product Code]]),4,"2024")</f>
        <v>BSB-2024-028</v>
      </c>
      <c r="F29" s="11" t="s">
        <v>324</v>
      </c>
      <c r="G29" s="11" t="str">
        <f>RIGHT(Table2[[#This Row],[product-brand]],LEN(Table2[[#This Row],[product-brand]])-FIND("–",Table2[[#This Row],[product-brand]]))</f>
        <v xml:space="preserve"> Bose</v>
      </c>
    </row>
    <row r="30" spans="1:10" x14ac:dyDescent="0.35">
      <c r="A30" s="11" t="s">
        <v>103</v>
      </c>
      <c r="B30" s="11" t="s">
        <v>100</v>
      </c>
      <c r="C30" s="11" t="str">
        <f>LEFT(Table2[[#This Row],[Product Name]],5)</f>
        <v>Bluet</v>
      </c>
      <c r="D30" s="11" t="s">
        <v>274</v>
      </c>
      <c r="E30" s="11" t="str">
        <f>REPLACE(Table2[[#This Row],[Product Code]],FIND("2",Table2[[#This Row],[Product Code]]),4,"2024")</f>
        <v>BSM-2024-029</v>
      </c>
      <c r="F30" s="11" t="s">
        <v>325</v>
      </c>
      <c r="G30" s="11" t="str">
        <f>RIGHT(Table2[[#This Row],[product-brand]],LEN(Table2[[#This Row],[product-brand]])-FIND("–",Table2[[#This Row],[product-brand]]))</f>
        <v xml:space="preserve"> Sony</v>
      </c>
    </row>
    <row r="31" spans="1:10" x14ac:dyDescent="0.35">
      <c r="A31" s="11" t="s">
        <v>104</v>
      </c>
      <c r="B31" s="11" t="s">
        <v>105</v>
      </c>
      <c r="C31" s="11" t="str">
        <f>LEFT(Table2[[#This Row],[Product Name]],5)</f>
        <v>27-in</v>
      </c>
      <c r="D31" s="11" t="s">
        <v>275</v>
      </c>
      <c r="E31" s="11" t="str">
        <f>REPLACE(Table2[[#This Row],[Product Code]],FIND("2",Table2[[#This Row],[Product Code]]),4,"2024")</f>
        <v>IM2024023-030</v>
      </c>
      <c r="F31" s="11" t="s">
        <v>326</v>
      </c>
      <c r="G31" s="11" t="str">
        <f>RIGHT(Table2[[#This Row],[product-brand]],LEN(Table2[[#This Row],[product-brand]])-FIND("–",Table2[[#This Row],[product-brand]]))</f>
        <v xml:space="preserve"> LG</v>
      </c>
    </row>
    <row r="32" spans="1:10" x14ac:dyDescent="0.35">
      <c r="A32" s="11" t="s">
        <v>106</v>
      </c>
      <c r="B32" s="11" t="s">
        <v>107</v>
      </c>
      <c r="C32" s="11" t="str">
        <f>LEFT(Table2[[#This Row],[Product Name]],5)</f>
        <v>32-in</v>
      </c>
      <c r="D32" s="11" t="s">
        <v>276</v>
      </c>
      <c r="E32" s="11" t="str">
        <f>REPLACE(Table2[[#This Row],[Product Code]],FIND("2",Table2[[#This Row],[Product Code]]),4,"2024")</f>
        <v>LM3202424-031</v>
      </c>
      <c r="F32" s="11" t="s">
        <v>327</v>
      </c>
      <c r="G32" s="11" t="str">
        <f>RIGHT(Table2[[#This Row],[product-brand]],LEN(Table2[[#This Row],[product-brand]])-FIND("–",Table2[[#This Row],[product-brand]]))</f>
        <v xml:space="preserve"> Samsung</v>
      </c>
    </row>
    <row r="33" spans="1:7" x14ac:dyDescent="0.35">
      <c r="A33" s="11" t="s">
        <v>108</v>
      </c>
      <c r="B33" s="11" t="s">
        <v>109</v>
      </c>
      <c r="C33" s="11" t="str">
        <f>LEFT(Table2[[#This Row],[Product Name]],5)</f>
        <v>24-in</v>
      </c>
      <c r="D33" s="11" t="s">
        <v>277</v>
      </c>
      <c r="E33" s="11" t="str">
        <f>REPLACE(Table2[[#This Row],[Product Code]],FIND("2",Table2[[#This Row],[Product Code]]),4,"2024")</f>
        <v>GM2024023-032</v>
      </c>
      <c r="F33" s="11" t="s">
        <v>328</v>
      </c>
      <c r="G33" s="11" t="str">
        <f>RIGHT(Table2[[#This Row],[product-brand]],LEN(Table2[[#This Row],[product-brand]])-FIND("–",Table2[[#This Row],[product-brand]]))</f>
        <v xml:space="preserve"> ASUS</v>
      </c>
    </row>
    <row r="34" spans="1:7" x14ac:dyDescent="0.35">
      <c r="A34" s="11" t="s">
        <v>110</v>
      </c>
      <c r="B34" s="11" t="s">
        <v>111</v>
      </c>
      <c r="C34" s="11" t="str">
        <f>LEFT(Table2[[#This Row],[Product Name]],5)</f>
        <v>Exter</v>
      </c>
      <c r="D34" s="11" t="s">
        <v>278</v>
      </c>
      <c r="E34" s="11" t="str">
        <f>REPLACE(Table2[[#This Row],[Product Code]],FIND("2",Table2[[#This Row],[Product Code]]),4,"2024")</f>
        <v>EHD1-2024-033</v>
      </c>
      <c r="F34" s="11" t="s">
        <v>329</v>
      </c>
      <c r="G34" s="11" t="str">
        <f>RIGHT(Table2[[#This Row],[product-brand]],LEN(Table2[[#This Row],[product-brand]])-FIND("–",Table2[[#This Row],[product-brand]]))</f>
        <v xml:space="preserve"> Seagate</v>
      </c>
    </row>
    <row r="35" spans="1:7" x14ac:dyDescent="0.35">
      <c r="A35" s="11" t="s">
        <v>112</v>
      </c>
      <c r="B35" s="11" t="s">
        <v>113</v>
      </c>
      <c r="C35" s="11" t="str">
        <f>LEFT(Table2[[#This Row],[Product Name]],5)</f>
        <v>Exter</v>
      </c>
      <c r="D35" s="11" t="s">
        <v>279</v>
      </c>
      <c r="E35" s="11" t="str">
        <f>REPLACE(Table2[[#This Row],[Product Code]],FIND("2",Table2[[#This Row],[Product Code]]),4,"2024")</f>
        <v>EHD202423-034</v>
      </c>
      <c r="F35" s="11" t="s">
        <v>330</v>
      </c>
      <c r="G35" s="11" t="str">
        <f>RIGHT(Table2[[#This Row],[product-brand]],LEN(Table2[[#This Row],[product-brand]])-FIND("–",Table2[[#This Row],[product-brand]]))</f>
        <v xml:space="preserve"> Western Digital</v>
      </c>
    </row>
    <row r="36" spans="1:7" x14ac:dyDescent="0.35">
      <c r="A36" s="11" t="s">
        <v>114</v>
      </c>
      <c r="B36" s="11" t="s">
        <v>111</v>
      </c>
      <c r="C36" s="11" t="str">
        <f>LEFT(Table2[[#This Row],[Product Name]],5)</f>
        <v>Exter</v>
      </c>
      <c r="D36" s="11" t="s">
        <v>280</v>
      </c>
      <c r="E36" s="11" t="str">
        <f>REPLACE(Table2[[#This Row],[Product Code]],FIND("2",Table2[[#This Row],[Product Code]]),4,"2024")</f>
        <v>EHD1-2024-035</v>
      </c>
      <c r="F36" s="11" t="s">
        <v>331</v>
      </c>
      <c r="G36" s="11" t="str">
        <f>RIGHT(Table2[[#This Row],[product-brand]],LEN(Table2[[#This Row],[product-brand]])-FIND("–",Table2[[#This Row],[product-brand]]))</f>
        <v xml:space="preserve"> Toshiba</v>
      </c>
    </row>
    <row r="37" spans="1:7" x14ac:dyDescent="0.35">
      <c r="A37" s="11" t="s">
        <v>115</v>
      </c>
      <c r="B37" s="11" t="s">
        <v>116</v>
      </c>
      <c r="C37" s="11" t="str">
        <f>LEFT(Table2[[#This Row],[Product Name]],5)</f>
        <v>SSD D</v>
      </c>
      <c r="D37" s="11" t="s">
        <v>281</v>
      </c>
      <c r="E37" s="11" t="str">
        <f>REPLACE(Table2[[#This Row],[Product Code]],FIND("2",Table2[[#This Row],[Product Code]]),4,"2024")</f>
        <v>SSD51202424-036</v>
      </c>
      <c r="F37" s="11" t="s">
        <v>332</v>
      </c>
      <c r="G37" s="11" t="str">
        <f>RIGHT(Table2[[#This Row],[product-brand]],LEN(Table2[[#This Row],[product-brand]])-FIND("–",Table2[[#This Row],[product-brand]]))</f>
        <v xml:space="preserve"> Kingston</v>
      </c>
    </row>
    <row r="38" spans="1:7" x14ac:dyDescent="0.35">
      <c r="A38" s="11" t="s">
        <v>117</v>
      </c>
      <c r="B38" s="11" t="s">
        <v>118</v>
      </c>
      <c r="C38" s="11" t="str">
        <f>LEFT(Table2[[#This Row],[Product Name]],5)</f>
        <v>SSD D</v>
      </c>
      <c r="D38" s="11" t="s">
        <v>282</v>
      </c>
      <c r="E38" s="11" t="str">
        <f>REPLACE(Table2[[#This Row],[Product Code]],FIND("2",Table2[[#This Row],[Product Code]]),4,"2024")</f>
        <v>SSD1T-2024-037</v>
      </c>
      <c r="F38" s="11" t="s">
        <v>333</v>
      </c>
      <c r="G38" s="11" t="str">
        <f>RIGHT(Table2[[#This Row],[product-brand]],LEN(Table2[[#This Row],[product-brand]])-FIND("–",Table2[[#This Row],[product-brand]]))</f>
        <v xml:space="preserve"> Samsung</v>
      </c>
    </row>
    <row r="39" spans="1:7" x14ac:dyDescent="0.35">
      <c r="A39" s="11" t="s">
        <v>119</v>
      </c>
      <c r="B39" s="11" t="s">
        <v>118</v>
      </c>
      <c r="C39" s="11" t="str">
        <f>LEFT(Table2[[#This Row],[Product Name]],5)</f>
        <v>SSD D</v>
      </c>
      <c r="D39" s="11" t="s">
        <v>283</v>
      </c>
      <c r="E39" s="11" t="str">
        <f>REPLACE(Table2[[#This Row],[Product Code]],FIND("2",Table2[[#This Row],[Product Code]]),4,"2024")</f>
        <v>SSD1T-2024-038</v>
      </c>
      <c r="F39" s="11" t="s">
        <v>334</v>
      </c>
      <c r="G39" s="11" t="str">
        <f>RIGHT(Table2[[#This Row],[product-brand]],LEN(Table2[[#This Row],[product-brand]])-FIND("–",Table2[[#This Row],[product-brand]]))</f>
        <v xml:space="preserve"> Crucial</v>
      </c>
    </row>
    <row r="40" spans="1:7" x14ac:dyDescent="0.35">
      <c r="A40" s="11" t="s">
        <v>120</v>
      </c>
      <c r="B40" s="11" t="s">
        <v>121</v>
      </c>
      <c r="C40" s="11" t="str">
        <f>LEFT(Table2[[#This Row],[Product Name]],5)</f>
        <v>USB F</v>
      </c>
      <c r="D40" s="11" t="s">
        <v>284</v>
      </c>
      <c r="E40" s="11" t="str">
        <f>REPLACE(Table2[[#This Row],[Product Code]],FIND("2",Table2[[#This Row],[Product Code]]),4,"2024")</f>
        <v>UFD64-2024-039</v>
      </c>
      <c r="F40" s="11" t="s">
        <v>335</v>
      </c>
      <c r="G40" s="11" t="str">
        <f>RIGHT(Table2[[#This Row],[product-brand]],LEN(Table2[[#This Row],[product-brand]])-FIND("–",Table2[[#This Row],[product-brand]]))</f>
        <v xml:space="preserve"> SanDisk</v>
      </c>
    </row>
    <row r="41" spans="1:7" x14ac:dyDescent="0.35">
      <c r="A41" s="11" t="s">
        <v>122</v>
      </c>
      <c r="B41" s="11" t="s">
        <v>123</v>
      </c>
      <c r="C41" s="11" t="str">
        <f>LEFT(Table2[[#This Row],[Product Name]],5)</f>
        <v>USB F</v>
      </c>
      <c r="D41" s="11" t="s">
        <v>285</v>
      </c>
      <c r="E41" s="11" t="str">
        <f>REPLACE(Table2[[#This Row],[Product Code]],FIND("2",Table2[[#This Row],[Product Code]]),4,"2024")</f>
        <v>UFD12024024-040</v>
      </c>
      <c r="F41" s="11" t="s">
        <v>336</v>
      </c>
      <c r="G41" s="11" t="str">
        <f>RIGHT(Table2[[#This Row],[product-brand]],LEN(Table2[[#This Row],[product-brand]])-FIND("–",Table2[[#This Row],[product-brand]]))</f>
        <v xml:space="preserve"> SanDisk</v>
      </c>
    </row>
    <row r="42" spans="1:7" x14ac:dyDescent="0.35">
      <c r="A42" s="11" t="s">
        <v>124</v>
      </c>
      <c r="B42" s="11" t="s">
        <v>121</v>
      </c>
      <c r="C42" s="11" t="str">
        <f>LEFT(Table2[[#This Row],[Product Name]],5)</f>
        <v>USB F</v>
      </c>
      <c r="D42" s="11" t="s">
        <v>286</v>
      </c>
      <c r="E42" s="11" t="str">
        <f>REPLACE(Table2[[#This Row],[Product Code]],FIND("2",Table2[[#This Row],[Product Code]]),4,"2024")</f>
        <v>UFD64-2024-041</v>
      </c>
      <c r="F42" s="11" t="s">
        <v>337</v>
      </c>
      <c r="G42" s="11" t="str">
        <f>RIGHT(Table2[[#This Row],[product-brand]],LEN(Table2[[#This Row],[product-brand]])-FIND("–",Table2[[#This Row],[product-brand]]))</f>
        <v xml:space="preserve"> HP</v>
      </c>
    </row>
    <row r="43" spans="1:7" x14ac:dyDescent="0.35">
      <c r="A43" s="11" t="s">
        <v>125</v>
      </c>
      <c r="B43" s="11" t="s">
        <v>126</v>
      </c>
      <c r="C43" s="11" t="str">
        <f>LEFT(Table2[[#This Row],[Product Name]],5)</f>
        <v>Wirel</v>
      </c>
      <c r="D43" s="11" t="s">
        <v>287</v>
      </c>
      <c r="E43" s="11" t="str">
        <f>REPLACE(Table2[[#This Row],[Product Code]],FIND("2",Table2[[#This Row],[Product Code]]),4,"2024")</f>
        <v>WRAC-2024-042</v>
      </c>
      <c r="F43" s="11" t="s">
        <v>338</v>
      </c>
      <c r="G43" s="11" t="str">
        <f>RIGHT(Table2[[#This Row],[product-brand]],LEN(Table2[[#This Row],[product-brand]])-FIND("–",Table2[[#This Row],[product-brand]]))</f>
        <v xml:space="preserve"> TP-Link</v>
      </c>
    </row>
    <row r="44" spans="1:7" x14ac:dyDescent="0.35">
      <c r="A44" s="11" t="s">
        <v>127</v>
      </c>
      <c r="B44" s="11" t="s">
        <v>128</v>
      </c>
      <c r="C44" s="11" t="str">
        <f>LEFT(Table2[[#This Row],[Product Name]],5)</f>
        <v>Wirel</v>
      </c>
      <c r="D44" s="11" t="s">
        <v>288</v>
      </c>
      <c r="E44" s="11" t="str">
        <f>REPLACE(Table2[[#This Row],[Product Code]],FIND("2",Table2[[#This Row],[Product Code]]),4,"2024")</f>
        <v>WRAX-2024-043</v>
      </c>
      <c r="F44" s="11" t="s">
        <v>339</v>
      </c>
      <c r="G44" s="11" t="str">
        <f>RIGHT(Table2[[#This Row],[product-brand]],LEN(Table2[[#This Row],[product-brand]])-FIND("–",Table2[[#This Row],[product-brand]]))</f>
        <v xml:space="preserve"> Netgear</v>
      </c>
    </row>
    <row r="45" spans="1:7" x14ac:dyDescent="0.35">
      <c r="A45" s="11" t="s">
        <v>129</v>
      </c>
      <c r="B45" s="11" t="s">
        <v>126</v>
      </c>
      <c r="C45" s="11" t="str">
        <f>LEFT(Table2[[#This Row],[Product Name]],5)</f>
        <v>Wirel</v>
      </c>
      <c r="D45" s="11" t="s">
        <v>289</v>
      </c>
      <c r="E45" s="11" t="str">
        <f>REPLACE(Table2[[#This Row],[Product Code]],FIND("2",Table2[[#This Row],[Product Code]]),4,"2024")</f>
        <v>WRAC-2024-044</v>
      </c>
      <c r="F45" s="11" t="s">
        <v>340</v>
      </c>
      <c r="G45" s="11" t="str">
        <f>RIGHT(Table2[[#This Row],[product-brand]],LEN(Table2[[#This Row],[product-brand]])-FIND("–",Table2[[#This Row],[product-brand]]))</f>
        <v xml:space="preserve"> D-Link</v>
      </c>
    </row>
    <row r="46" spans="1:7" x14ac:dyDescent="0.35">
      <c r="A46" s="11" t="s">
        <v>130</v>
      </c>
      <c r="B46" s="11" t="s">
        <v>131</v>
      </c>
      <c r="C46" s="11" t="str">
        <f>LEFT(Table2[[#This Row],[Product Name]],5)</f>
        <v>Noise</v>
      </c>
      <c r="D46" s="11" t="s">
        <v>290</v>
      </c>
      <c r="E46" s="11" t="str">
        <f>REPLACE(Table2[[#This Row],[Product Code]],FIND("2",Table2[[#This Row],[Product Code]]),4,"2024")</f>
        <v>NCE-2024-045</v>
      </c>
      <c r="F46" s="11" t="s">
        <v>341</v>
      </c>
      <c r="G46" s="11" t="str">
        <f>RIGHT(Table2[[#This Row],[product-brand]],LEN(Table2[[#This Row],[product-brand]])-FIND("–",Table2[[#This Row],[product-brand]]))</f>
        <v xml:space="preserve"> Sony</v>
      </c>
    </row>
    <row r="47" spans="1:7" x14ac:dyDescent="0.35">
      <c r="A47" s="11" t="s">
        <v>132</v>
      </c>
      <c r="B47" s="11" t="s">
        <v>133</v>
      </c>
      <c r="C47" s="11" t="str">
        <f>LEFT(Table2[[#This Row],[Product Name]],5)</f>
        <v>Porta</v>
      </c>
      <c r="D47" s="11" t="s">
        <v>291</v>
      </c>
      <c r="E47" s="11" t="str">
        <f>REPLACE(Table2[[#This Row],[Product Code]],FIND("2",Table2[[#This Row],[Product Code]]),4,"2024")</f>
        <v>PPB10-2024-046</v>
      </c>
      <c r="F47" s="11" t="s">
        <v>342</v>
      </c>
      <c r="G47" s="11" t="str">
        <f>RIGHT(Table2[[#This Row],[product-brand]],LEN(Table2[[#This Row],[product-brand]])-FIND("–",Table2[[#This Row],[product-brand]]))</f>
        <v xml:space="preserve"> Mi</v>
      </c>
    </row>
    <row r="48" spans="1:7" x14ac:dyDescent="0.35">
      <c r="A48" s="11" t="s">
        <v>134</v>
      </c>
      <c r="B48" s="11" t="s">
        <v>135</v>
      </c>
      <c r="C48" s="11" t="str">
        <f>LEFT(Table2[[#This Row],[Product Name]],5)</f>
        <v>Porta</v>
      </c>
      <c r="D48" s="11" t="s">
        <v>292</v>
      </c>
      <c r="E48" s="11" t="str">
        <f>REPLACE(Table2[[#This Row],[Product Code]],FIND("2",Table2[[#This Row],[Product Code]]),4,"2024")</f>
        <v>PPB2024023-047</v>
      </c>
      <c r="F48" s="11" t="s">
        <v>343</v>
      </c>
      <c r="G48" s="11" t="str">
        <f>RIGHT(Table2[[#This Row],[product-brand]],LEN(Table2[[#This Row],[product-brand]])-FIND("–",Table2[[#This Row],[product-brand]]))</f>
        <v xml:space="preserve"> Anker</v>
      </c>
    </row>
    <row r="49" spans="1:7" x14ac:dyDescent="0.35">
      <c r="A49" s="11" t="s">
        <v>136</v>
      </c>
      <c r="B49" s="11" t="s">
        <v>133</v>
      </c>
      <c r="C49" s="11" t="str">
        <f>LEFT(Table2[[#This Row],[Product Name]],5)</f>
        <v>Porta</v>
      </c>
      <c r="D49" s="11" t="s">
        <v>293</v>
      </c>
      <c r="E49" s="11" t="str">
        <f>REPLACE(Table2[[#This Row],[Product Code]],FIND("2",Table2[[#This Row],[Product Code]]),4,"2024")</f>
        <v>PPB10-2024-048</v>
      </c>
      <c r="F49" s="11" t="s">
        <v>344</v>
      </c>
      <c r="G49" s="11" t="str">
        <f>RIGHT(Table2[[#This Row],[product-brand]],LEN(Table2[[#This Row],[product-brand]])-FIND("–",Table2[[#This Row],[product-brand]]))</f>
        <v xml:space="preserve"> Realme</v>
      </c>
    </row>
    <row r="50" spans="1:7" x14ac:dyDescent="0.35">
      <c r="A50" s="11" t="s">
        <v>137</v>
      </c>
      <c r="B50" s="11" t="s">
        <v>138</v>
      </c>
      <c r="C50" s="11" t="str">
        <f>LEFT(Table2[[#This Row],[Product Name]],5)</f>
        <v>Wirel</v>
      </c>
      <c r="D50" s="11" t="s">
        <v>294</v>
      </c>
      <c r="E50" s="11" t="str">
        <f>REPLACE(Table2[[#This Row],[Product Code]],FIND("2",Table2[[#This Row],[Product Code]]),4,"2024")</f>
        <v>WCP-2024-049</v>
      </c>
      <c r="F50" s="11" t="s">
        <v>345</v>
      </c>
      <c r="G50" s="11" t="str">
        <f>RIGHT(Table2[[#This Row],[product-brand]],LEN(Table2[[#This Row],[product-brand]])-FIND("–",Table2[[#This Row],[product-brand]]))</f>
        <v xml:space="preserve"> Belkin</v>
      </c>
    </row>
    <row r="51" spans="1:7" x14ac:dyDescent="0.35">
      <c r="A51" s="11" t="s">
        <v>139</v>
      </c>
      <c r="B51" s="11" t="s">
        <v>140</v>
      </c>
      <c r="C51" s="11" t="str">
        <f>LEFT(Table2[[#This Row],[Product Name]],5)</f>
        <v>Smart</v>
      </c>
      <c r="D51" s="11" t="s">
        <v>295</v>
      </c>
      <c r="E51" s="11" t="str">
        <f>REPLACE(Table2[[#This Row],[Product Code]],FIND("2",Table2[[#This Row],[Product Code]]),4,"2024")</f>
        <v>SLRGB-2024-050</v>
      </c>
      <c r="F51" s="11" t="s">
        <v>346</v>
      </c>
      <c r="G51" s="11" t="str">
        <f>RIGHT(Table2[[#This Row],[product-brand]],LEN(Table2[[#This Row],[product-brand]])-FIND("–",Table2[[#This Row],[product-brand]]))</f>
        <v xml:space="preserve"> Philips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0F10D-0AF5-43BE-9411-B7F96C4935AC}">
  <dimension ref="A1:M51"/>
  <sheetViews>
    <sheetView topLeftCell="G20" zoomScale="130" zoomScaleNormal="130" workbookViewId="0">
      <selection activeCell="L30" sqref="L30"/>
    </sheetView>
  </sheetViews>
  <sheetFormatPr defaultRowHeight="14.5" x14ac:dyDescent="0.35"/>
  <cols>
    <col min="1" max="1" width="11.08203125" customWidth="1"/>
    <col min="2" max="2" width="17.08203125" bestFit="1" customWidth="1"/>
    <col min="3" max="3" width="17.08203125" customWidth="1"/>
    <col min="4" max="4" width="17.08203125" bestFit="1" customWidth="1"/>
    <col min="5" max="5" width="15.6640625" bestFit="1" customWidth="1"/>
    <col min="6" max="6" width="16.58203125" bestFit="1" customWidth="1"/>
    <col min="8" max="9" width="30.1640625" bestFit="1" customWidth="1"/>
    <col min="10" max="10" width="10.08203125" bestFit="1" customWidth="1"/>
    <col min="12" max="12" width="14.08203125" bestFit="1" customWidth="1"/>
    <col min="13" max="13" width="15" customWidth="1"/>
  </cols>
  <sheetData>
    <row r="1" spans="1:10" x14ac:dyDescent="0.35">
      <c r="A1" s="3" t="s">
        <v>193</v>
      </c>
      <c r="B1" s="3" t="s">
        <v>192</v>
      </c>
      <c r="C1" s="3" t="s">
        <v>196</v>
      </c>
      <c r="D1" s="3" t="s">
        <v>194</v>
      </c>
      <c r="E1" s="5" t="s">
        <v>195</v>
      </c>
      <c r="F1" s="3" t="s">
        <v>197</v>
      </c>
      <c r="G1" s="3" t="s">
        <v>198</v>
      </c>
      <c r="H1" s="5" t="s">
        <v>199</v>
      </c>
      <c r="I1" s="3" t="s">
        <v>244</v>
      </c>
      <c r="J1" s="3" t="s">
        <v>349</v>
      </c>
    </row>
    <row r="2" spans="1:10" x14ac:dyDescent="0.35">
      <c r="A2" s="3">
        <v>1</v>
      </c>
      <c r="B2" s="3" t="s">
        <v>142</v>
      </c>
      <c r="C2" s="3" t="str">
        <f>LEFT(Table3[[#This Row],[Full Names]],FIND(" ",Table3[[#This Row],[Full Names]]))</f>
        <v xml:space="preserve">Arjun </v>
      </c>
      <c r="D2" s="3" t="str">
        <f>RIGHT(Table3[[#This Row],[Full Names]],LEN(Table3[[#This Row],[Full Names]])-FIND(" ",Table3[[#This Row],[Full Names]]))</f>
        <v>Mehta</v>
      </c>
      <c r="E2" s="4">
        <v>33736</v>
      </c>
      <c r="F2" s="3">
        <f>YEAR(Table3[[#This Row],[Date of Birth]])</f>
        <v>1992</v>
      </c>
      <c r="G2" s="6">
        <f>2025-Table3[[#This Row],[year_of_birth]]</f>
        <v>33</v>
      </c>
      <c r="H2" s="7" t="s">
        <v>200</v>
      </c>
      <c r="I2" s="6" t="str">
        <f>IF(ISBLANK(Table3[[#This Row],[Email ID]]),"NO","YES")</f>
        <v>YES</v>
      </c>
      <c r="J2" s="6">
        <v>42000</v>
      </c>
    </row>
    <row r="3" spans="1:10" x14ac:dyDescent="0.35">
      <c r="A3" s="3">
        <v>2</v>
      </c>
      <c r="B3" s="3" t="s">
        <v>143</v>
      </c>
      <c r="C3" s="3" t="str">
        <f>LEFT(Table3[[#This Row],[Full Names]],FIND(" ",Table3[[#This Row],[Full Names]]))</f>
        <v xml:space="preserve">Rohan </v>
      </c>
      <c r="D3" s="3" t="str">
        <f>RIGHT(Table3[[#This Row],[Full Names]],LEN(Table3[[#This Row],[Full Names]])-FIND(" ",Table3[[#This Row],[Full Names]]))</f>
        <v>Gupta</v>
      </c>
      <c r="E3" s="4">
        <v>33108</v>
      </c>
      <c r="F3" s="3">
        <f>YEAR(Table3[[#This Row],[Date of Birth]])</f>
        <v>1990</v>
      </c>
      <c r="G3" s="6">
        <f>2025-Table3[[#This Row],[year_of_birth]]</f>
        <v>35</v>
      </c>
      <c r="H3" s="7" t="s">
        <v>201</v>
      </c>
      <c r="I3" s="6" t="str">
        <f>IF(ISBLANK(Table3[[#This Row],[Email ID]]),"NO","YES")</f>
        <v>YES</v>
      </c>
      <c r="J3" s="6">
        <v>55000</v>
      </c>
    </row>
    <row r="4" spans="1:10" x14ac:dyDescent="0.35">
      <c r="A4" s="3">
        <v>3</v>
      </c>
      <c r="B4" s="3" t="s">
        <v>144</v>
      </c>
      <c r="C4" s="3" t="str">
        <f>LEFT(Table3[[#This Row],[Full Names]],FIND(" ",Table3[[#This Row],[Full Names]]))</f>
        <v xml:space="preserve">Sagar </v>
      </c>
      <c r="D4" s="3" t="str">
        <f>RIGHT(Table3[[#This Row],[Full Names]],LEN(Table3[[#This Row],[Full Names]])-FIND(" ",Table3[[#This Row],[Full Names]]))</f>
        <v>Deshmukh</v>
      </c>
      <c r="E4" s="4">
        <v>32525</v>
      </c>
      <c r="F4" s="3">
        <f>YEAR(Table3[[#This Row],[Date of Birth]])</f>
        <v>1989</v>
      </c>
      <c r="G4" s="6">
        <f>2025-Table3[[#This Row],[year_of_birth]]</f>
        <v>36</v>
      </c>
      <c r="H4" s="7" t="s">
        <v>202</v>
      </c>
      <c r="I4" s="6" t="str">
        <f>IF(ISBLANK(Table3[[#This Row],[Email ID]]),"NO","YES")</f>
        <v>YES</v>
      </c>
      <c r="J4" s="6">
        <v>68000</v>
      </c>
    </row>
    <row r="5" spans="1:10" x14ac:dyDescent="0.35">
      <c r="A5" s="3">
        <v>4</v>
      </c>
      <c r="B5" s="3" t="s">
        <v>145</v>
      </c>
      <c r="C5" s="3" t="str">
        <f>LEFT(Table3[[#This Row],[Full Names]],FIND(" ",Table3[[#This Row],[Full Names]]))</f>
        <v xml:space="preserve">Neha </v>
      </c>
      <c r="D5" s="3" t="str">
        <f>RIGHT(Table3[[#This Row],[Full Names]],LEN(Table3[[#This Row],[Full Names]])-FIND(" ",Table3[[#This Row],[Full Names]]))</f>
        <v>Kulkarni</v>
      </c>
      <c r="E5" s="4">
        <v>34647</v>
      </c>
      <c r="F5" s="3">
        <f>YEAR(Table3[[#This Row],[Date of Birth]])</f>
        <v>1994</v>
      </c>
      <c r="G5" s="6">
        <f>2025-Table3[[#This Row],[year_of_birth]]</f>
        <v>31</v>
      </c>
      <c r="H5" s="7" t="s">
        <v>203</v>
      </c>
      <c r="I5" s="6" t="str">
        <f>IF(ISBLANK(Table3[[#This Row],[Email ID]]),"NO","YES")</f>
        <v>YES</v>
      </c>
      <c r="J5" s="6">
        <v>72000</v>
      </c>
    </row>
    <row r="6" spans="1:10" x14ac:dyDescent="0.35">
      <c r="A6" s="3">
        <v>5</v>
      </c>
      <c r="B6" s="3" t="s">
        <v>146</v>
      </c>
      <c r="C6" s="3" t="str">
        <f>LEFT(Table3[[#This Row],[Full Names]],FIND(" ",Table3[[#This Row],[Full Names]]))</f>
        <v xml:space="preserve">Pooja </v>
      </c>
      <c r="D6" s="3" t="str">
        <f>RIGHT(Table3[[#This Row],[Full Names]],LEN(Table3[[#This Row],[Full Names]])-FIND(" ",Table3[[#This Row],[Full Names]]))</f>
        <v>Sharma</v>
      </c>
      <c r="E6" s="4">
        <v>33297</v>
      </c>
      <c r="F6" s="3">
        <f>YEAR(Table3[[#This Row],[Date of Birth]])</f>
        <v>1991</v>
      </c>
      <c r="G6" s="6">
        <f>2025-Table3[[#This Row],[year_of_birth]]</f>
        <v>34</v>
      </c>
      <c r="H6" s="7" t="s">
        <v>204</v>
      </c>
      <c r="I6" s="6" t="str">
        <f>IF(ISBLANK(Table3[[#This Row],[Email ID]]),"NO","YES")</f>
        <v>YES</v>
      </c>
      <c r="J6" s="6">
        <v>48000</v>
      </c>
    </row>
    <row r="7" spans="1:10" x14ac:dyDescent="0.35">
      <c r="A7" s="3">
        <v>6</v>
      </c>
      <c r="B7" s="3" t="s">
        <v>147</v>
      </c>
      <c r="C7" s="3" t="str">
        <f>LEFT(Table3[[#This Row],[Full Names]],FIND(" ",Table3[[#This Row],[Full Names]]))</f>
        <v xml:space="preserve">Kiran </v>
      </c>
      <c r="D7" s="3" t="str">
        <f>RIGHT(Table3[[#This Row],[Full Names]],LEN(Table3[[#This Row],[Full Names]])-FIND(" ",Table3[[#This Row],[Full Names]]))</f>
        <v>Rajput</v>
      </c>
      <c r="E7" s="4">
        <v>32308</v>
      </c>
      <c r="F7" s="3">
        <f>YEAR(Table3[[#This Row],[Date of Birth]])</f>
        <v>1988</v>
      </c>
      <c r="G7" s="6">
        <f>2025-Table3[[#This Row],[year_of_birth]]</f>
        <v>37</v>
      </c>
      <c r="H7" s="7" t="s">
        <v>205</v>
      </c>
      <c r="I7" s="6" t="str">
        <f>IF(ISBLANK(Table3[[#This Row],[Email ID]]),"NO","YES")</f>
        <v>YES</v>
      </c>
      <c r="J7" s="6">
        <v>60000</v>
      </c>
    </row>
    <row r="8" spans="1:10" x14ac:dyDescent="0.35">
      <c r="A8" s="3">
        <v>7</v>
      </c>
      <c r="B8" s="3" t="s">
        <v>148</v>
      </c>
      <c r="C8" s="3" t="str">
        <f>LEFT(Table3[[#This Row],[Full Names]],FIND(" ",Table3[[#This Row],[Full Names]]))</f>
        <v xml:space="preserve">Swati </v>
      </c>
      <c r="D8" s="3" t="str">
        <f>RIGHT(Table3[[#This Row],[Full Names]],LEN(Table3[[#This Row],[Full Names]])-FIND(" ",Table3[[#This Row],[Full Names]]))</f>
        <v>Nair</v>
      </c>
      <c r="E8" s="4">
        <v>34215</v>
      </c>
      <c r="F8" s="3">
        <f>YEAR(Table3[[#This Row],[Date of Birth]])</f>
        <v>1993</v>
      </c>
      <c r="G8" s="6">
        <f>2025-Table3[[#This Row],[year_of_birth]]</f>
        <v>32</v>
      </c>
      <c r="H8" s="8"/>
      <c r="I8" s="6" t="str">
        <f>IF(ISBLANK(Table3[[#This Row],[Email ID]]),"NO","YES")</f>
        <v>NO</v>
      </c>
      <c r="J8" s="6">
        <v>75000</v>
      </c>
    </row>
    <row r="9" spans="1:10" x14ac:dyDescent="0.35">
      <c r="A9" s="3">
        <v>8</v>
      </c>
      <c r="B9" s="3" t="s">
        <v>149</v>
      </c>
      <c r="C9" s="3" t="str">
        <f>LEFT(Table3[[#This Row],[Full Names]],FIND(" ",Table3[[#This Row],[Full Names]]))</f>
        <v xml:space="preserve">Varun </v>
      </c>
      <c r="D9" s="3" t="str">
        <f>RIGHT(Table3[[#This Row],[Full Names]],LEN(Table3[[#This Row],[Full Names]])-FIND(" ",Table3[[#This Row],[Full Names]]))</f>
        <v>Chatterjee</v>
      </c>
      <c r="E9" s="4">
        <v>32130</v>
      </c>
      <c r="F9" s="3">
        <f>YEAR(Table3[[#This Row],[Date of Birth]])</f>
        <v>1987</v>
      </c>
      <c r="G9" s="6">
        <f>2025-Table3[[#This Row],[year_of_birth]]</f>
        <v>38</v>
      </c>
      <c r="H9" s="7" t="s">
        <v>206</v>
      </c>
      <c r="I9" s="6" t="str">
        <f>IF(ISBLANK(Table3[[#This Row],[Email ID]]),"NO","YES")</f>
        <v>YES</v>
      </c>
      <c r="J9" s="6">
        <v>82000</v>
      </c>
    </row>
    <row r="10" spans="1:10" x14ac:dyDescent="0.35">
      <c r="A10" s="3">
        <v>9</v>
      </c>
      <c r="B10" s="3" t="s">
        <v>150</v>
      </c>
      <c r="C10" s="3" t="str">
        <f>LEFT(Table3[[#This Row],[Full Names]],FIND(" ",Table3[[#This Row],[Full Names]]))</f>
        <v xml:space="preserve">Meera </v>
      </c>
      <c r="D10" s="3" t="str">
        <f>RIGHT(Table3[[#This Row],[Full Names]],LEN(Table3[[#This Row],[Full Names]])-FIND(" ",Table3[[#This Row],[Full Names]]))</f>
        <v>Ramaswamy</v>
      </c>
      <c r="E10" s="4">
        <v>34796</v>
      </c>
      <c r="F10" s="3">
        <f>YEAR(Table3[[#This Row],[Date of Birth]])</f>
        <v>1995</v>
      </c>
      <c r="G10" s="6">
        <f>2025-Table3[[#This Row],[year_of_birth]]</f>
        <v>30</v>
      </c>
      <c r="H10" s="7" t="s">
        <v>207</v>
      </c>
      <c r="I10" s="6" t="str">
        <f>IF(ISBLANK(Table3[[#This Row],[Email ID]]),"NO","YES")</f>
        <v>YES</v>
      </c>
      <c r="J10" s="6">
        <v>39000</v>
      </c>
    </row>
    <row r="11" spans="1:10" x14ac:dyDescent="0.35">
      <c r="A11" s="3">
        <v>10</v>
      </c>
      <c r="B11" s="3" t="s">
        <v>151</v>
      </c>
      <c r="C11" s="3" t="str">
        <f>LEFT(Table3[[#This Row],[Full Names]],FIND(" ",Table3[[#This Row],[Full Names]]))</f>
        <v xml:space="preserve">Sanjay </v>
      </c>
      <c r="D11" s="3" t="str">
        <f>RIGHT(Table3[[#This Row],[Full Names]],LEN(Table3[[#This Row],[Full Names]])-FIND(" ",Table3[[#This Row],[Full Names]]))</f>
        <v>Bhatt</v>
      </c>
      <c r="E11" s="4">
        <v>31710</v>
      </c>
      <c r="F11" s="3">
        <f>YEAR(Table3[[#This Row],[Date of Birth]])</f>
        <v>1986</v>
      </c>
      <c r="G11" s="6">
        <f>2025-Table3[[#This Row],[year_of_birth]]</f>
        <v>39</v>
      </c>
      <c r="H11" s="7" t="s">
        <v>208</v>
      </c>
      <c r="I11" s="6" t="str">
        <f>IF(ISBLANK(Table3[[#This Row],[Email ID]]),"NO","YES")</f>
        <v>YES</v>
      </c>
      <c r="J11" s="6">
        <v>91000</v>
      </c>
    </row>
    <row r="12" spans="1:10" x14ac:dyDescent="0.35">
      <c r="A12" s="3">
        <v>11</v>
      </c>
      <c r="B12" s="3" t="s">
        <v>152</v>
      </c>
      <c r="C12" s="3" t="str">
        <f>LEFT(Table3[[#This Row],[Full Names]],FIND(" ",Table3[[#This Row],[Full Names]]))</f>
        <v xml:space="preserve">Priya </v>
      </c>
      <c r="D12" s="3" t="str">
        <f>RIGHT(Table3[[#This Row],[Full Names]],LEN(Table3[[#This Row],[Full Names]])-FIND(" ",Table3[[#This Row],[Full Names]]))</f>
        <v>Iyer</v>
      </c>
      <c r="E12" s="4">
        <v>33679</v>
      </c>
      <c r="F12" s="3">
        <f>YEAR(Table3[[#This Row],[Date of Birth]])</f>
        <v>1992</v>
      </c>
      <c r="G12" s="6">
        <f>2025-Table3[[#This Row],[year_of_birth]]</f>
        <v>33</v>
      </c>
      <c r="H12" s="8"/>
      <c r="I12" s="6" t="str">
        <f>IF(ISBLANK(Table3[[#This Row],[Email ID]]),"NO","YES")</f>
        <v>NO</v>
      </c>
      <c r="J12" s="6">
        <v>67000</v>
      </c>
    </row>
    <row r="13" spans="1:10" x14ac:dyDescent="0.35">
      <c r="A13" s="3">
        <v>12</v>
      </c>
      <c r="B13" s="3" t="s">
        <v>153</v>
      </c>
      <c r="C13" s="3" t="str">
        <f>LEFT(Table3[[#This Row],[Full Names]],FIND(" ",Table3[[#This Row],[Full Names]]))</f>
        <v xml:space="preserve">Dev </v>
      </c>
      <c r="D13" s="3" t="str">
        <f>RIGHT(Table3[[#This Row],[Full Names]],LEN(Table3[[#This Row],[Full Names]])-FIND(" ",Table3[[#This Row],[Full Names]]))</f>
        <v>Malhotra</v>
      </c>
      <c r="E13" s="4">
        <v>32700</v>
      </c>
      <c r="F13" s="3">
        <f>YEAR(Table3[[#This Row],[Date of Birth]])</f>
        <v>1989</v>
      </c>
      <c r="G13" s="6">
        <f>2025-Table3[[#This Row],[year_of_birth]]</f>
        <v>36</v>
      </c>
      <c r="H13" s="7" t="s">
        <v>209</v>
      </c>
      <c r="I13" s="6" t="str">
        <f>IF(ISBLANK(Table3[[#This Row],[Email ID]]),"NO","YES")</f>
        <v>YES</v>
      </c>
      <c r="J13" s="6">
        <v>58000</v>
      </c>
    </row>
    <row r="14" spans="1:10" x14ac:dyDescent="0.35">
      <c r="A14" s="3">
        <v>13</v>
      </c>
      <c r="B14" s="3" t="s">
        <v>154</v>
      </c>
      <c r="C14" s="3" t="str">
        <f>LEFT(Table3[[#This Row],[Full Names]],FIND(" ",Table3[[#This Row],[Full Names]]))</f>
        <v xml:space="preserve">Shruti </v>
      </c>
      <c r="D14" s="3" t="str">
        <f>RIGHT(Table3[[#This Row],[Full Names]],LEN(Table3[[#This Row],[Full Names]])-FIND(" ",Table3[[#This Row],[Full Names]]))</f>
        <v>Verma</v>
      </c>
      <c r="E14" s="4">
        <v>35069</v>
      </c>
      <c r="F14" s="3">
        <f>YEAR(Table3[[#This Row],[Date of Birth]])</f>
        <v>1996</v>
      </c>
      <c r="G14" s="6">
        <f>2025-Table3[[#This Row],[year_of_birth]]</f>
        <v>29</v>
      </c>
      <c r="H14" s="7" t="s">
        <v>210</v>
      </c>
      <c r="I14" s="6" t="str">
        <f>IF(ISBLANK(Table3[[#This Row],[Email ID]]),"NO","YES")</f>
        <v>YES</v>
      </c>
      <c r="J14" s="6">
        <v>46000</v>
      </c>
    </row>
    <row r="15" spans="1:10" x14ac:dyDescent="0.35">
      <c r="A15" s="3">
        <v>14</v>
      </c>
      <c r="B15" s="3" t="s">
        <v>155</v>
      </c>
      <c r="C15" s="3" t="str">
        <f>LEFT(Table3[[#This Row],[Full Names]],FIND(" ",Table3[[#This Row],[Full Names]]))</f>
        <v xml:space="preserve">Tanmay </v>
      </c>
      <c r="D15" s="3" t="str">
        <f>RIGHT(Table3[[#This Row],[Full Names]],LEN(Table3[[#This Row],[Full Names]])-FIND(" ",Table3[[#This Row],[Full Names]]))</f>
        <v>Saxena</v>
      </c>
      <c r="E15" s="4">
        <v>33114</v>
      </c>
      <c r="F15" s="3">
        <f>YEAR(Table3[[#This Row],[Date of Birth]])</f>
        <v>1990</v>
      </c>
      <c r="G15" s="6">
        <f>2025-Table3[[#This Row],[year_of_birth]]</f>
        <v>35</v>
      </c>
      <c r="H15" s="7" t="s">
        <v>211</v>
      </c>
      <c r="I15" s="6" t="str">
        <f>IF(ISBLANK(Table3[[#This Row],[Email ID]]),"NO","YES")</f>
        <v>YES</v>
      </c>
      <c r="J15" s="6">
        <v>88000</v>
      </c>
    </row>
    <row r="16" spans="1:10" x14ac:dyDescent="0.35">
      <c r="A16" s="3">
        <v>15</v>
      </c>
      <c r="B16" s="3" t="s">
        <v>156</v>
      </c>
      <c r="C16" s="3" t="str">
        <f>LEFT(Table3[[#This Row],[Full Names]],FIND(" ",Table3[[#This Row],[Full Names]]))</f>
        <v xml:space="preserve">Aditi </v>
      </c>
      <c r="D16" s="3" t="str">
        <f>RIGHT(Table3[[#This Row],[Full Names]],LEN(Table3[[#This Row],[Full Names]])-FIND(" ",Table3[[#This Row],[Full Names]]))</f>
        <v>Menon</v>
      </c>
      <c r="E16" s="4">
        <v>34018</v>
      </c>
      <c r="F16" s="3">
        <f>YEAR(Table3[[#This Row],[Date of Birth]])</f>
        <v>1993</v>
      </c>
      <c r="G16" s="6">
        <f>2025-Table3[[#This Row],[year_of_birth]]</f>
        <v>32</v>
      </c>
      <c r="H16" s="7" t="s">
        <v>212</v>
      </c>
      <c r="I16" s="6" t="str">
        <f>IF(ISBLANK(Table3[[#This Row],[Email ID]]),"NO","YES")</f>
        <v>YES</v>
      </c>
      <c r="J16" s="6">
        <v>53000</v>
      </c>
    </row>
    <row r="17" spans="1:13" x14ac:dyDescent="0.35">
      <c r="A17" s="3">
        <v>16</v>
      </c>
      <c r="B17" s="3" t="s">
        <v>157</v>
      </c>
      <c r="C17" s="3" t="str">
        <f>LEFT(Table3[[#This Row],[Full Names]],FIND(" ",Table3[[#This Row],[Full Names]]))</f>
        <v xml:space="preserve">Naveen </v>
      </c>
      <c r="D17" s="3" t="str">
        <f>RIGHT(Table3[[#This Row],[Full Names]],LEN(Table3[[#This Row],[Full Names]])-FIND(" ",Table3[[#This Row],[Full Names]]))</f>
        <v>Patil</v>
      </c>
      <c r="E17" s="4">
        <v>32315</v>
      </c>
      <c r="F17" s="3">
        <f>YEAR(Table3[[#This Row],[Date of Birth]])</f>
        <v>1988</v>
      </c>
      <c r="G17" s="6">
        <f>2025-Table3[[#This Row],[year_of_birth]]</f>
        <v>37</v>
      </c>
      <c r="H17" s="7" t="s">
        <v>213</v>
      </c>
      <c r="I17" s="6" t="str">
        <f>IF(ISBLANK(Table3[[#This Row],[Email ID]]),"NO","YES")</f>
        <v>YES</v>
      </c>
      <c r="J17" s="6">
        <v>61000</v>
      </c>
    </row>
    <row r="18" spans="1:13" x14ac:dyDescent="0.35">
      <c r="A18" s="3">
        <v>17</v>
      </c>
      <c r="B18" s="3" t="s">
        <v>158</v>
      </c>
      <c r="C18" s="3" t="str">
        <f>LEFT(Table3[[#This Row],[Full Names]],FIND(" ",Table3[[#This Row],[Full Names]]))</f>
        <v xml:space="preserve">Kavya </v>
      </c>
      <c r="D18" s="3" t="str">
        <f>RIGHT(Table3[[#This Row],[Full Names]],LEN(Table3[[#This Row],[Full Names]])-FIND(" ",Table3[[#This Row],[Full Names]]))</f>
        <v>Shetty</v>
      </c>
      <c r="E18" s="4">
        <v>34617</v>
      </c>
      <c r="F18" s="3">
        <f>YEAR(Table3[[#This Row],[Date of Birth]])</f>
        <v>1994</v>
      </c>
      <c r="G18" s="6">
        <f>2025-Table3[[#This Row],[year_of_birth]]</f>
        <v>31</v>
      </c>
      <c r="H18" s="7" t="s">
        <v>214</v>
      </c>
      <c r="I18" s="6" t="str">
        <f>IF(ISBLANK(Table3[[#This Row],[Email ID]]),"NO","YES")</f>
        <v>YES</v>
      </c>
      <c r="J18" s="6">
        <v>70000</v>
      </c>
    </row>
    <row r="19" spans="1:13" x14ac:dyDescent="0.35">
      <c r="A19" s="3">
        <v>18</v>
      </c>
      <c r="B19" s="3" t="s">
        <v>159</v>
      </c>
      <c r="C19" s="3" t="str">
        <f>LEFT(Table3[[#This Row],[Full Names]],FIND(" ",Table3[[#This Row],[Full Names]]))</f>
        <v xml:space="preserve">Siddharth </v>
      </c>
      <c r="D19" s="3" t="str">
        <f>RIGHT(Table3[[#This Row],[Full Names]],LEN(Table3[[#This Row],[Full Names]])-FIND(" ",Table3[[#This Row],[Full Names]]))</f>
        <v>Reddy</v>
      </c>
      <c r="E19" s="4">
        <v>33574</v>
      </c>
      <c r="F19" s="3">
        <f>YEAR(Table3[[#This Row],[Date of Birth]])</f>
        <v>1991</v>
      </c>
      <c r="G19" s="6">
        <f>2025-Table3[[#This Row],[year_of_birth]]</f>
        <v>34</v>
      </c>
      <c r="H19" s="7" t="s">
        <v>215</v>
      </c>
      <c r="I19" s="6" t="str">
        <f>IF(ISBLANK(Table3[[#This Row],[Email ID]]),"NO","YES")</f>
        <v>YES</v>
      </c>
      <c r="J19" s="6">
        <v>84000</v>
      </c>
    </row>
    <row r="20" spans="1:13" x14ac:dyDescent="0.35">
      <c r="A20" s="3">
        <v>19</v>
      </c>
      <c r="B20" s="3" t="s">
        <v>160</v>
      </c>
      <c r="C20" s="3" t="str">
        <f>LEFT(Table3[[#This Row],[Full Names]],FIND(" ",Table3[[#This Row],[Full Names]]))</f>
        <v xml:space="preserve">Rhea </v>
      </c>
      <c r="D20" s="3" t="str">
        <f>RIGHT(Table3[[#This Row],[Full Names]],LEN(Table3[[#This Row],[Full Names]])-FIND(" ",Table3[[#This Row],[Full Names]]))</f>
        <v>Joseph</v>
      </c>
      <c r="E20" s="4">
        <v>34846</v>
      </c>
      <c r="F20" s="3">
        <f>YEAR(Table3[[#This Row],[Date of Birth]])</f>
        <v>1995</v>
      </c>
      <c r="G20" s="6">
        <f>2025-Table3[[#This Row],[year_of_birth]]</f>
        <v>30</v>
      </c>
      <c r="H20" s="7" t="s">
        <v>216</v>
      </c>
      <c r="I20" s="6" t="str">
        <f>IF(ISBLANK(Table3[[#This Row],[Email ID]]),"NO","YES")</f>
        <v>YES</v>
      </c>
      <c r="J20" s="6">
        <v>95000</v>
      </c>
    </row>
    <row r="21" spans="1:13" x14ac:dyDescent="0.35">
      <c r="A21" s="3">
        <v>20</v>
      </c>
      <c r="B21" s="3" t="s">
        <v>161</v>
      </c>
      <c r="C21" s="3" t="str">
        <f>LEFT(Table3[[#This Row],[Full Names]],FIND(" ",Table3[[#This Row],[Full Names]]))</f>
        <v xml:space="preserve">Pranav </v>
      </c>
      <c r="D21" s="3" t="str">
        <f>RIGHT(Table3[[#This Row],[Full Names]],LEN(Table3[[#This Row],[Full Names]])-FIND(" ",Table3[[#This Row],[Full Names]]))</f>
        <v>Bhatia</v>
      </c>
      <c r="E21" s="4">
        <v>32765</v>
      </c>
      <c r="F21" s="3">
        <f>YEAR(Table3[[#This Row],[Date of Birth]])</f>
        <v>1989</v>
      </c>
      <c r="G21" s="6">
        <f>2025-Table3[[#This Row],[year_of_birth]]</f>
        <v>36</v>
      </c>
      <c r="H21" s="7" t="s">
        <v>217</v>
      </c>
      <c r="I21" s="6" t="str">
        <f>IF(ISBLANK(Table3[[#This Row],[Email ID]]),"NO","YES")</f>
        <v>YES</v>
      </c>
      <c r="J21" s="6">
        <v>52000</v>
      </c>
    </row>
    <row r="22" spans="1:13" x14ac:dyDescent="0.35">
      <c r="A22" s="3">
        <v>21</v>
      </c>
      <c r="B22" s="3" t="s">
        <v>162</v>
      </c>
      <c r="C22" s="3" t="str">
        <f>LEFT(Table3[[#This Row],[Full Names]],FIND(" ",Table3[[#This Row],[Full Names]]))</f>
        <v xml:space="preserve">Ananya </v>
      </c>
      <c r="D22" s="3" t="str">
        <f>RIGHT(Table3[[#This Row],[Full Names]],LEN(Table3[[#This Row],[Full Names]])-FIND(" ",Table3[[#This Row],[Full Names]]))</f>
        <v>Paul</v>
      </c>
      <c r="E22" s="4">
        <v>35161</v>
      </c>
      <c r="F22" s="3">
        <f>YEAR(Table3[[#This Row],[Date of Birth]])</f>
        <v>1996</v>
      </c>
      <c r="G22" s="6">
        <f>2025-Table3[[#This Row],[year_of_birth]]</f>
        <v>29</v>
      </c>
      <c r="H22" s="7" t="s">
        <v>218</v>
      </c>
      <c r="I22" s="6" t="str">
        <f>IF(ISBLANK(Table3[[#This Row],[Email ID]]),"NO","YES")</f>
        <v>YES</v>
      </c>
      <c r="J22" s="6">
        <v>49000</v>
      </c>
      <c r="L22" t="s">
        <v>350</v>
      </c>
      <c r="M22" t="s">
        <v>351</v>
      </c>
    </row>
    <row r="23" spans="1:13" x14ac:dyDescent="0.35">
      <c r="A23" s="3">
        <v>22</v>
      </c>
      <c r="B23" s="3" t="s">
        <v>163</v>
      </c>
      <c r="C23" s="3" t="str">
        <f>LEFT(Table3[[#This Row],[Full Names]],FIND(" ",Table3[[#This Row],[Full Names]]))</f>
        <v xml:space="preserve">Keshav </v>
      </c>
      <c r="D23" s="3" t="str">
        <f>RIGHT(Table3[[#This Row],[Full Names]],LEN(Table3[[#This Row],[Full Names]])-FIND(" ",Table3[[#This Row],[Full Names]]))</f>
        <v>Sethi</v>
      </c>
      <c r="E23" s="4">
        <v>31808</v>
      </c>
      <c r="F23" s="3">
        <f>YEAR(Table3[[#This Row],[Date of Birth]])</f>
        <v>1987</v>
      </c>
      <c r="G23" s="6">
        <f>2025-Table3[[#This Row],[year_of_birth]]</f>
        <v>38</v>
      </c>
      <c r="H23" s="7" t="s">
        <v>219</v>
      </c>
      <c r="I23" s="6" t="str">
        <f>IF(ISBLANK(Table3[[#This Row],[Email ID]]),"NO","YES")</f>
        <v>YES</v>
      </c>
      <c r="J23" s="6">
        <v>63000</v>
      </c>
      <c r="L23" t="s">
        <v>163</v>
      </c>
      <c r="M23">
        <f>INDEX(Table3[salary],MATCH(Table4[[#This Row],[Values]],Table3[Full Names],))</f>
        <v>63000</v>
      </c>
    </row>
    <row r="24" spans="1:13" x14ac:dyDescent="0.35">
      <c r="A24" s="3">
        <v>23</v>
      </c>
      <c r="B24" s="3" t="s">
        <v>164</v>
      </c>
      <c r="C24" s="3" t="str">
        <f>LEFT(Table3[[#This Row],[Full Names]],FIND(" ",Table3[[#This Row],[Full Names]]))</f>
        <v xml:space="preserve">Manasi </v>
      </c>
      <c r="D24" s="3" t="str">
        <f>RIGHT(Table3[[#This Row],[Full Names]],LEN(Table3[[#This Row],[Full Names]])-FIND(" ",Table3[[#This Row],[Full Names]]))</f>
        <v>Kulkarni</v>
      </c>
      <c r="E24" s="4">
        <v>33805</v>
      </c>
      <c r="F24" s="3">
        <f>YEAR(Table3[[#This Row],[Date of Birth]])</f>
        <v>1992</v>
      </c>
      <c r="G24" s="6">
        <f>2025-Table3[[#This Row],[year_of_birth]]</f>
        <v>33</v>
      </c>
      <c r="H24" s="7" t="s">
        <v>220</v>
      </c>
      <c r="I24" s="6" t="str">
        <f>IF(ISBLANK(Table3[[#This Row],[Email ID]]),"NO","YES")</f>
        <v>YES</v>
      </c>
      <c r="J24" s="6">
        <v>77000</v>
      </c>
      <c r="L24" t="s">
        <v>164</v>
      </c>
      <c r="M24">
        <f>INDEX(Table3[salary],MATCH(Table4[[#This Row],[Values]],Table3[Full Names],))</f>
        <v>77000</v>
      </c>
    </row>
    <row r="25" spans="1:13" x14ac:dyDescent="0.35">
      <c r="A25" s="3">
        <v>24</v>
      </c>
      <c r="B25" s="3" t="s">
        <v>165</v>
      </c>
      <c r="C25" s="3" t="str">
        <f>LEFT(Table3[[#This Row],[Full Names]],FIND(" ",Table3[[#This Row],[Full Names]]))</f>
        <v xml:space="preserve">Harshit </v>
      </c>
      <c r="D25" s="3" t="str">
        <f>RIGHT(Table3[[#This Row],[Full Names]],LEN(Table3[[#This Row],[Full Names]])-FIND(" ",Table3[[#This Row],[Full Names]]))</f>
        <v>Pandey</v>
      </c>
      <c r="E25" s="4">
        <v>34646</v>
      </c>
      <c r="F25" s="3">
        <f>YEAR(Table3[[#This Row],[Date of Birth]])</f>
        <v>1994</v>
      </c>
      <c r="G25" s="6">
        <f>2025-Table3[[#This Row],[year_of_birth]]</f>
        <v>31</v>
      </c>
      <c r="H25" s="7" t="s">
        <v>221</v>
      </c>
      <c r="I25" s="6" t="str">
        <f>IF(ISBLANK(Table3[[#This Row],[Email ID]]),"NO","YES")</f>
        <v>YES</v>
      </c>
      <c r="J25" s="6">
        <v>86000</v>
      </c>
      <c r="L25" t="s">
        <v>165</v>
      </c>
      <c r="M25">
        <f>INDEX(Table3[salary],MATCH(Table4[[#This Row],[Values]],Table3[Full Names],))</f>
        <v>86000</v>
      </c>
    </row>
    <row r="26" spans="1:13" x14ac:dyDescent="0.35">
      <c r="A26" s="3">
        <v>25</v>
      </c>
      <c r="B26" s="3" t="s">
        <v>166</v>
      </c>
      <c r="C26" s="3" t="str">
        <f>LEFT(Table3[[#This Row],[Full Names]],FIND(" ",Table3[[#This Row],[Full Names]]))</f>
        <v xml:space="preserve">Kriti </v>
      </c>
      <c r="D26" s="3" t="str">
        <f>RIGHT(Table3[[#This Row],[Full Names]],LEN(Table3[[#This Row],[Full Names]])-FIND(" ",Table3[[#This Row],[Full Names]]))</f>
        <v>Jaiswal</v>
      </c>
      <c r="E26" s="4">
        <v>34054</v>
      </c>
      <c r="F26" s="3">
        <f>YEAR(Table3[[#This Row],[Date of Birth]])</f>
        <v>1993</v>
      </c>
      <c r="G26" s="6">
        <f>2025-Table3[[#This Row],[year_of_birth]]</f>
        <v>32</v>
      </c>
      <c r="H26" s="7" t="s">
        <v>222</v>
      </c>
      <c r="I26" s="6" t="str">
        <f>IF(ISBLANK(Table3[[#This Row],[Email ID]]),"NO","YES")</f>
        <v>YES</v>
      </c>
      <c r="J26" s="6">
        <v>41000</v>
      </c>
      <c r="L26" t="s">
        <v>166</v>
      </c>
      <c r="M26">
        <f>INDEX(Table3[salary],MATCH(Table4[[#This Row],[Values]],Table3[Full Names],))</f>
        <v>41000</v>
      </c>
    </row>
    <row r="27" spans="1:13" x14ac:dyDescent="0.35">
      <c r="A27" s="3">
        <v>26</v>
      </c>
      <c r="B27" s="3" t="s">
        <v>167</v>
      </c>
      <c r="C27" s="3" t="str">
        <f>LEFT(Table3[[#This Row],[Full Names]],FIND(" ",Table3[[#This Row],[Full Names]]))</f>
        <v xml:space="preserve">Ishaan </v>
      </c>
      <c r="D27" s="3" t="str">
        <f>RIGHT(Table3[[#This Row],[Full Names]],LEN(Table3[[#This Row],[Full Names]])-FIND(" ",Table3[[#This Row],[Full Names]]))</f>
        <v>Sharma</v>
      </c>
      <c r="E27" s="4">
        <v>32368</v>
      </c>
      <c r="F27" s="3">
        <f>YEAR(Table3[[#This Row],[Date of Birth]])</f>
        <v>1988</v>
      </c>
      <c r="G27" s="6">
        <f>2025-Table3[[#This Row],[year_of_birth]]</f>
        <v>37</v>
      </c>
      <c r="H27" s="7" t="s">
        <v>223</v>
      </c>
      <c r="I27" s="6" t="str">
        <f>IF(ISBLANK(Table3[[#This Row],[Email ID]]),"NO","YES")</f>
        <v>YES</v>
      </c>
      <c r="J27" s="6">
        <v>59000</v>
      </c>
      <c r="L27" t="s">
        <v>167</v>
      </c>
      <c r="M27">
        <f>INDEX(Table3[salary],MATCH(Table4[[#This Row],[Values]],Table3[Full Names],))</f>
        <v>59000</v>
      </c>
    </row>
    <row r="28" spans="1:13" x14ac:dyDescent="0.35">
      <c r="A28" s="3">
        <v>27</v>
      </c>
      <c r="B28" s="3" t="s">
        <v>168</v>
      </c>
      <c r="C28" s="3" t="str">
        <f>LEFT(Table3[[#This Row],[Full Names]],FIND(" ",Table3[[#This Row],[Full Names]]))</f>
        <v xml:space="preserve">Taniya </v>
      </c>
      <c r="D28" s="3" t="str">
        <f>RIGHT(Table3[[#This Row],[Full Names]],LEN(Table3[[#This Row],[Full Names]])-FIND(" ",Table3[[#This Row],[Full Names]]))</f>
        <v>Abraham</v>
      </c>
      <c r="E28" s="4">
        <v>35465</v>
      </c>
      <c r="F28" s="3">
        <f>YEAR(Table3[[#This Row],[Date of Birth]])</f>
        <v>1997</v>
      </c>
      <c r="G28" s="6">
        <f>2025-Table3[[#This Row],[year_of_birth]]</f>
        <v>28</v>
      </c>
      <c r="H28" s="8"/>
      <c r="I28" s="6" t="str">
        <f>IF(ISBLANK(Table3[[#This Row],[Email ID]]),"NO","YES")</f>
        <v>NO</v>
      </c>
      <c r="J28" s="6">
        <v>69000</v>
      </c>
    </row>
    <row r="29" spans="1:13" x14ac:dyDescent="0.35">
      <c r="A29" s="3">
        <v>28</v>
      </c>
      <c r="B29" s="3" t="s">
        <v>169</v>
      </c>
      <c r="C29" s="3" t="str">
        <f>LEFT(Table3[[#This Row],[Full Names]],FIND(" ",Table3[[#This Row],[Full Names]]))</f>
        <v xml:space="preserve">Nikhil </v>
      </c>
      <c r="D29" s="3" t="str">
        <f>RIGHT(Table3[[#This Row],[Full Names]],LEN(Table3[[#This Row],[Full Names]])-FIND(" ",Table3[[#This Row],[Full Names]]))</f>
        <v>Bose</v>
      </c>
      <c r="E29" s="4">
        <v>33046</v>
      </c>
      <c r="F29" s="3">
        <f>YEAR(Table3[[#This Row],[Date of Birth]])</f>
        <v>1990</v>
      </c>
      <c r="G29" s="6">
        <f>2025-Table3[[#This Row],[year_of_birth]]</f>
        <v>35</v>
      </c>
      <c r="H29" s="7" t="s">
        <v>224</v>
      </c>
      <c r="I29" s="6" t="str">
        <f>IF(ISBLANK(Table3[[#This Row],[Email ID]]),"NO","YES")</f>
        <v>YES</v>
      </c>
      <c r="J29" s="6">
        <v>73000</v>
      </c>
    </row>
    <row r="30" spans="1:13" x14ac:dyDescent="0.35">
      <c r="A30" s="3">
        <v>29</v>
      </c>
      <c r="B30" s="3" t="s">
        <v>170</v>
      </c>
      <c r="C30" s="3" t="str">
        <f>LEFT(Table3[[#This Row],[Full Names]],FIND(" ",Table3[[#This Row],[Full Names]]))</f>
        <v xml:space="preserve">Sana </v>
      </c>
      <c r="D30" s="3" t="str">
        <f>RIGHT(Table3[[#This Row],[Full Names]],LEN(Table3[[#This Row],[Full Names]])-FIND(" ",Table3[[#This Row],[Full Names]]))</f>
        <v>Merchant</v>
      </c>
      <c r="E30" s="4">
        <v>34318</v>
      </c>
      <c r="F30" s="3">
        <f>YEAR(Table3[[#This Row],[Date of Birth]])</f>
        <v>1993</v>
      </c>
      <c r="G30" s="6">
        <f>2025-Table3[[#This Row],[year_of_birth]]</f>
        <v>32</v>
      </c>
      <c r="H30" s="7" t="s">
        <v>225</v>
      </c>
      <c r="I30" s="6" t="str">
        <f>IF(ISBLANK(Table3[[#This Row],[Email ID]]),"NO","YES")</f>
        <v>YES</v>
      </c>
      <c r="J30" s="6">
        <v>81000</v>
      </c>
    </row>
    <row r="31" spans="1:13" x14ac:dyDescent="0.35">
      <c r="A31" s="3">
        <v>30</v>
      </c>
      <c r="B31" s="3" t="s">
        <v>171</v>
      </c>
      <c r="C31" s="3" t="str">
        <f>LEFT(Table3[[#This Row],[Full Names]],FIND(" ",Table3[[#This Row],[Full Names]]))</f>
        <v xml:space="preserve">Aditya </v>
      </c>
      <c r="D31" s="3" t="str">
        <f>RIGHT(Table3[[#This Row],[Full Names]],LEN(Table3[[#This Row],[Full Names]])-FIND(" ",Table3[[#This Row],[Full Names]]))</f>
        <v>Rao</v>
      </c>
      <c r="E31" s="4">
        <v>32029</v>
      </c>
      <c r="F31" s="3">
        <f>YEAR(Table3[[#This Row],[Date of Birth]])</f>
        <v>1987</v>
      </c>
      <c r="G31" s="6">
        <f>2025-Table3[[#This Row],[year_of_birth]]</f>
        <v>38</v>
      </c>
      <c r="H31" s="7" t="s">
        <v>226</v>
      </c>
      <c r="I31" s="6" t="str">
        <f>IF(ISBLANK(Table3[[#This Row],[Email ID]]),"NO","YES")</f>
        <v>YES</v>
      </c>
      <c r="J31" s="6">
        <v>90000</v>
      </c>
    </row>
    <row r="32" spans="1:13" x14ac:dyDescent="0.35">
      <c r="A32" s="3">
        <v>31</v>
      </c>
      <c r="B32" s="3" t="s">
        <v>172</v>
      </c>
      <c r="C32" s="3" t="str">
        <f>LEFT(Table3[[#This Row],[Full Names]],FIND(" ",Table3[[#This Row],[Full Names]]))</f>
        <v xml:space="preserve">Shreya </v>
      </c>
      <c r="D32" s="3" t="str">
        <f>RIGHT(Table3[[#This Row],[Full Names]],LEN(Table3[[#This Row],[Full Names]])-FIND(" ",Table3[[#This Row],[Full Names]]))</f>
        <v>D’Souza</v>
      </c>
      <c r="E32" s="4">
        <v>34729</v>
      </c>
      <c r="F32" s="3">
        <f>YEAR(Table3[[#This Row],[Date of Birth]])</f>
        <v>1995</v>
      </c>
      <c r="G32" s="6">
        <f>2025-Table3[[#This Row],[year_of_birth]]</f>
        <v>30</v>
      </c>
      <c r="H32" s="7" t="s">
        <v>227</v>
      </c>
      <c r="I32" s="6" t="str">
        <f>IF(ISBLANK(Table3[[#This Row],[Email ID]]),"NO","YES")</f>
        <v>YES</v>
      </c>
      <c r="J32" s="6">
        <v>47000</v>
      </c>
    </row>
    <row r="33" spans="1:10" x14ac:dyDescent="0.35">
      <c r="A33" s="3">
        <v>32</v>
      </c>
      <c r="B33" s="3" t="s">
        <v>173</v>
      </c>
      <c r="C33" s="3" t="str">
        <f>LEFT(Table3[[#This Row],[Full Names]],FIND(" ",Table3[[#This Row],[Full Names]]))</f>
        <v xml:space="preserve">Tejas </v>
      </c>
      <c r="D33" s="3" t="str">
        <f>RIGHT(Table3[[#This Row],[Full Names]],LEN(Table3[[#This Row],[Full Names]])-FIND(" ",Table3[[#This Row],[Full Names]]))</f>
        <v>Khanna</v>
      </c>
      <c r="E33" s="4">
        <v>33352</v>
      </c>
      <c r="F33" s="3">
        <f>YEAR(Table3[[#This Row],[Date of Birth]])</f>
        <v>1991</v>
      </c>
      <c r="G33" s="6">
        <f>2025-Table3[[#This Row],[year_of_birth]]</f>
        <v>34</v>
      </c>
      <c r="H33" s="7" t="s">
        <v>228</v>
      </c>
      <c r="I33" s="6" t="str">
        <f>IF(ISBLANK(Table3[[#This Row],[Email ID]]),"NO","YES")</f>
        <v>YES</v>
      </c>
      <c r="J33" s="6">
        <v>56000</v>
      </c>
    </row>
    <row r="34" spans="1:10" x14ac:dyDescent="0.35">
      <c r="A34" s="3">
        <v>33</v>
      </c>
      <c r="B34" s="3" t="s">
        <v>174</v>
      </c>
      <c r="C34" s="3" t="str">
        <f>LEFT(Table3[[#This Row],[Full Names]],FIND(" ",Table3[[#This Row],[Full Names]]))</f>
        <v xml:space="preserve">Ritu </v>
      </c>
      <c r="D34" s="3" t="str">
        <f>RIGHT(Table3[[#This Row],[Full Names]],LEN(Table3[[#This Row],[Full Names]])-FIND(" ",Table3[[#This Row],[Full Names]]))</f>
        <v>Chauhan</v>
      </c>
      <c r="E34" s="4">
        <v>33896</v>
      </c>
      <c r="F34" s="3">
        <f>YEAR(Table3[[#This Row],[Date of Birth]])</f>
        <v>1992</v>
      </c>
      <c r="G34" s="6">
        <f>2025-Table3[[#This Row],[year_of_birth]]</f>
        <v>33</v>
      </c>
      <c r="H34" s="7" t="s">
        <v>229</v>
      </c>
      <c r="I34" s="6" t="str">
        <f>IF(ISBLANK(Table3[[#This Row],[Email ID]]),"NO","YES")</f>
        <v>YES</v>
      </c>
      <c r="J34" s="6">
        <v>64000</v>
      </c>
    </row>
    <row r="35" spans="1:10" x14ac:dyDescent="0.35">
      <c r="A35" s="3">
        <v>34</v>
      </c>
      <c r="B35" s="3" t="s">
        <v>175</v>
      </c>
      <c r="C35" s="3" t="str">
        <f>LEFT(Table3[[#This Row],[Full Names]],FIND(" ",Table3[[#This Row],[Full Names]]))</f>
        <v xml:space="preserve">Yashveer </v>
      </c>
      <c r="D35" s="3" t="str">
        <f>RIGHT(Table3[[#This Row],[Full Names]],LEN(Table3[[#This Row],[Full Names]])-FIND(" ",Table3[[#This Row],[Full Names]]))</f>
        <v>Kanojia</v>
      </c>
      <c r="E35" s="4">
        <v>34492</v>
      </c>
      <c r="F35" s="3">
        <f>YEAR(Table3[[#This Row],[Date of Birth]])</f>
        <v>1994</v>
      </c>
      <c r="G35" s="6">
        <f>2025-Table3[[#This Row],[year_of_birth]]</f>
        <v>31</v>
      </c>
      <c r="H35" s="7" t="s">
        <v>230</v>
      </c>
      <c r="I35" s="6" t="str">
        <f>IF(ISBLANK(Table3[[#This Row],[Email ID]]),"NO","YES")</f>
        <v>YES</v>
      </c>
      <c r="J35" s="6">
        <v>78000</v>
      </c>
    </row>
    <row r="36" spans="1:10" x14ac:dyDescent="0.35">
      <c r="A36" s="3">
        <v>35</v>
      </c>
      <c r="B36" s="3" t="s">
        <v>176</v>
      </c>
      <c r="C36" s="3" t="str">
        <f>LEFT(Table3[[#This Row],[Full Names]],FIND(" ",Table3[[#This Row],[Full Names]]))</f>
        <v xml:space="preserve">Neelam </v>
      </c>
      <c r="D36" s="3" t="str">
        <f>RIGHT(Table3[[#This Row],[Full Names]],LEN(Table3[[#This Row],[Full Names]])-FIND(" ",Table3[[#This Row],[Full Names]]))</f>
        <v>Joshi</v>
      </c>
      <c r="E36" s="4">
        <v>32578</v>
      </c>
      <c r="F36" s="3">
        <f>YEAR(Table3[[#This Row],[Date of Birth]])</f>
        <v>1989</v>
      </c>
      <c r="G36" s="6">
        <f>2025-Table3[[#This Row],[year_of_birth]]</f>
        <v>36</v>
      </c>
      <c r="H36" s="8"/>
      <c r="I36" s="6" t="str">
        <f>IF(ISBLANK(Table3[[#This Row],[Email ID]]),"NO","YES")</f>
        <v>NO</v>
      </c>
      <c r="J36" s="6">
        <v>83000</v>
      </c>
    </row>
    <row r="37" spans="1:10" x14ac:dyDescent="0.35">
      <c r="A37" s="3">
        <v>36</v>
      </c>
      <c r="B37" s="3" t="s">
        <v>177</v>
      </c>
      <c r="C37" s="3" t="str">
        <f>LEFT(Table3[[#This Row],[Full Names]],FIND(" ",Table3[[#This Row],[Full Names]]))</f>
        <v xml:space="preserve">Milan </v>
      </c>
      <c r="D37" s="3" t="str">
        <f>RIGHT(Table3[[#This Row],[Full Names]],LEN(Table3[[#This Row],[Full Names]])-FIND(" ",Table3[[#This Row],[Full Names]]))</f>
        <v>Solanki</v>
      </c>
      <c r="E37" s="4">
        <v>33113</v>
      </c>
      <c r="F37" s="3">
        <f>YEAR(Table3[[#This Row],[Date of Birth]])</f>
        <v>1990</v>
      </c>
      <c r="G37" s="6">
        <f>2025-Table3[[#This Row],[year_of_birth]]</f>
        <v>35</v>
      </c>
      <c r="H37" s="7" t="s">
        <v>231</v>
      </c>
      <c r="I37" s="6" t="str">
        <f>IF(ISBLANK(Table3[[#This Row],[Email ID]]),"NO","YES")</f>
        <v>YES</v>
      </c>
      <c r="J37" s="6">
        <v>92000</v>
      </c>
    </row>
    <row r="38" spans="1:10" x14ac:dyDescent="0.35">
      <c r="A38" s="3">
        <v>37</v>
      </c>
      <c r="B38" s="3" t="s">
        <v>178</v>
      </c>
      <c r="C38" s="3" t="str">
        <f>LEFT(Table3[[#This Row],[Full Names]],FIND(" ",Table3[[#This Row],[Full Names]]))</f>
        <v xml:space="preserve">Pritam </v>
      </c>
      <c r="D38" s="3" t="str">
        <f>RIGHT(Table3[[#This Row],[Full Names]],LEN(Table3[[#This Row],[Full Names]])-FIND(" ",Table3[[#This Row],[Full Names]]))</f>
        <v>Gaikwad</v>
      </c>
      <c r="E38" s="4">
        <v>35190</v>
      </c>
      <c r="F38" s="3">
        <f>YEAR(Table3[[#This Row],[Date of Birth]])</f>
        <v>1996</v>
      </c>
      <c r="G38" s="6">
        <f>2025-Table3[[#This Row],[year_of_birth]]</f>
        <v>29</v>
      </c>
      <c r="H38" s="7" t="s">
        <v>232</v>
      </c>
      <c r="I38" s="6" t="str">
        <f>IF(ISBLANK(Table3[[#This Row],[Email ID]]),"NO","YES")</f>
        <v>YES</v>
      </c>
      <c r="J38" s="6">
        <v>50000</v>
      </c>
    </row>
    <row r="39" spans="1:10" x14ac:dyDescent="0.35">
      <c r="A39" s="3">
        <v>38</v>
      </c>
      <c r="B39" s="3" t="s">
        <v>179</v>
      </c>
      <c r="C39" s="3" t="str">
        <f>LEFT(Table3[[#This Row],[Full Names]],FIND(" ",Table3[[#This Row],[Full Names]]))</f>
        <v xml:space="preserve">Roshni </v>
      </c>
      <c r="D39" s="3" t="str">
        <f>RIGHT(Table3[[#This Row],[Full Names]],LEN(Table3[[#This Row],[Full Names]])-FIND(" ",Table3[[#This Row],[Full Names]]))</f>
        <v>Fernandes</v>
      </c>
      <c r="E39" s="4">
        <v>34289</v>
      </c>
      <c r="F39" s="3">
        <f>YEAR(Table3[[#This Row],[Date of Birth]])</f>
        <v>1993</v>
      </c>
      <c r="G39" s="6">
        <f>2025-Table3[[#This Row],[year_of_birth]]</f>
        <v>32</v>
      </c>
      <c r="H39" s="7" t="s">
        <v>233</v>
      </c>
      <c r="I39" s="6" t="str">
        <f>IF(ISBLANK(Table3[[#This Row],[Email ID]]),"NO","YES")</f>
        <v>YES</v>
      </c>
      <c r="J39" s="6">
        <v>62000</v>
      </c>
    </row>
    <row r="40" spans="1:10" x14ac:dyDescent="0.35">
      <c r="A40" s="3">
        <v>39</v>
      </c>
      <c r="B40" s="3" t="s">
        <v>180</v>
      </c>
      <c r="C40" s="3" t="str">
        <f>LEFT(Table3[[#This Row],[Full Names]],FIND(" ",Table3[[#This Row],[Full Names]]))</f>
        <v xml:space="preserve">Dhruv </v>
      </c>
      <c r="D40" s="3" t="str">
        <f>RIGHT(Table3[[#This Row],[Full Names]],LEN(Table3[[#This Row],[Full Names]])-FIND(" ",Table3[[#This Row],[Full Names]]))</f>
        <v>Bansal</v>
      </c>
      <c r="E40" s="4">
        <v>32185</v>
      </c>
      <c r="F40" s="3">
        <f>YEAR(Table3[[#This Row],[Date of Birth]])</f>
        <v>1988</v>
      </c>
      <c r="G40" s="6">
        <f>2025-Table3[[#This Row],[year_of_birth]]</f>
        <v>37</v>
      </c>
      <c r="H40" s="7" t="s">
        <v>234</v>
      </c>
      <c r="I40" s="6" t="str">
        <f>IF(ISBLANK(Table3[[#This Row],[Email ID]]),"NO","YES")</f>
        <v>YES</v>
      </c>
      <c r="J40" s="6">
        <v>71000</v>
      </c>
    </row>
    <row r="41" spans="1:10" x14ac:dyDescent="0.35">
      <c r="A41" s="3">
        <v>40</v>
      </c>
      <c r="B41" s="3" t="s">
        <v>181</v>
      </c>
      <c r="C41" s="3" t="str">
        <f>LEFT(Table3[[#This Row],[Full Names]],FIND(" ",Table3[[#This Row],[Full Names]]))</f>
        <v xml:space="preserve">Naina </v>
      </c>
      <c r="D41" s="3" t="str">
        <f>RIGHT(Table3[[#This Row],[Full Names]],LEN(Table3[[#This Row],[Full Names]])-FIND(" ",Table3[[#This Row],[Full Names]]))</f>
        <v>Chib</v>
      </c>
      <c r="E41" s="4">
        <v>34971</v>
      </c>
      <c r="F41" s="3">
        <f>YEAR(Table3[[#This Row],[Date of Birth]])</f>
        <v>1995</v>
      </c>
      <c r="G41" s="6">
        <f>2025-Table3[[#This Row],[year_of_birth]]</f>
        <v>30</v>
      </c>
      <c r="H41" s="7" t="s">
        <v>235</v>
      </c>
      <c r="I41" s="6" t="str">
        <f>IF(ISBLANK(Table3[[#This Row],[Email ID]]),"NO","YES")</f>
        <v>YES</v>
      </c>
      <c r="J41" s="6">
        <v>85000</v>
      </c>
    </row>
    <row r="42" spans="1:10" x14ac:dyDescent="0.35">
      <c r="A42" s="3">
        <v>41</v>
      </c>
      <c r="B42" s="3" t="s">
        <v>182</v>
      </c>
      <c r="C42" s="3" t="str">
        <f>LEFT(Table3[[#This Row],[Full Names]],FIND(" ",Table3[[#This Row],[Full Names]]))</f>
        <v xml:space="preserve">Zoya </v>
      </c>
      <c r="D42" s="3" t="str">
        <f>RIGHT(Table3[[#This Row],[Full Names]],LEN(Table3[[#This Row],[Full Names]])-FIND(" ",Table3[[#This Row],[Full Names]]))</f>
        <v>Khan</v>
      </c>
      <c r="E42" s="4">
        <v>34335</v>
      </c>
      <c r="F42" s="3">
        <f>YEAR(Table3[[#This Row],[Date of Birth]])</f>
        <v>1994</v>
      </c>
      <c r="G42" s="6">
        <f>2025-Table3[[#This Row],[year_of_birth]]</f>
        <v>31</v>
      </c>
      <c r="H42" s="7" t="s">
        <v>236</v>
      </c>
      <c r="I42" s="6" t="str">
        <f>IF(ISBLANK(Table3[[#This Row],[Email ID]]),"NO","YES")</f>
        <v>YES</v>
      </c>
      <c r="J42" s="6">
        <v>98000</v>
      </c>
    </row>
    <row r="43" spans="1:10" x14ac:dyDescent="0.35">
      <c r="A43" s="3">
        <v>42</v>
      </c>
      <c r="B43" s="3" t="s">
        <v>183</v>
      </c>
      <c r="C43" s="3" t="str">
        <f>LEFT(Table3[[#This Row],[Full Names]],FIND(" ",Table3[[#This Row],[Full Names]]))</f>
        <v xml:space="preserve">Kabir </v>
      </c>
      <c r="D43" s="3" t="str">
        <f>RIGHT(Table3[[#This Row],[Full Names]],LEN(Table3[[#This Row],[Full Names]])-FIND(" ",Table3[[#This Row],[Full Names]]))</f>
        <v>Qureshi</v>
      </c>
      <c r="E43" s="4">
        <v>33437</v>
      </c>
      <c r="F43" s="3">
        <f>YEAR(Table3[[#This Row],[Date of Birth]])</f>
        <v>1991</v>
      </c>
      <c r="G43" s="6">
        <f>2025-Table3[[#This Row],[year_of_birth]]</f>
        <v>34</v>
      </c>
      <c r="H43" s="7" t="s">
        <v>237</v>
      </c>
      <c r="I43" s="6" t="str">
        <f>IF(ISBLANK(Table3[[#This Row],[Email ID]]),"NO","YES")</f>
        <v>YES</v>
      </c>
      <c r="J43" s="6">
        <v>45000</v>
      </c>
    </row>
    <row r="44" spans="1:10" x14ac:dyDescent="0.35">
      <c r="A44" s="3">
        <v>43</v>
      </c>
      <c r="B44" s="3" t="s">
        <v>184</v>
      </c>
      <c r="C44" s="3" t="str">
        <f>LEFT(Table3[[#This Row],[Full Names]],FIND(" ",Table3[[#This Row],[Full Names]]))</f>
        <v xml:space="preserve">Aradhya </v>
      </c>
      <c r="D44" s="3" t="str">
        <f>RIGHT(Table3[[#This Row],[Full Names]],LEN(Table3[[#This Row],[Full Names]])-FIND(" ",Table3[[#This Row],[Full Names]]))</f>
        <v>Pillai</v>
      </c>
      <c r="E44" s="4">
        <v>35360</v>
      </c>
      <c r="F44" s="3">
        <f>YEAR(Table3[[#This Row],[Date of Birth]])</f>
        <v>1996</v>
      </c>
      <c r="G44" s="6">
        <f>2025-Table3[[#This Row],[year_of_birth]]</f>
        <v>29</v>
      </c>
      <c r="H44" s="7" t="s">
        <v>238</v>
      </c>
      <c r="I44" s="6" t="str">
        <f>IF(ISBLANK(Table3[[#This Row],[Email ID]]),"NO","YES")</f>
        <v>YES</v>
      </c>
      <c r="J44" s="6">
        <v>57000</v>
      </c>
    </row>
    <row r="45" spans="1:10" x14ac:dyDescent="0.35">
      <c r="A45" s="3">
        <v>44</v>
      </c>
      <c r="B45" s="3" t="s">
        <v>185</v>
      </c>
      <c r="C45" s="3" t="str">
        <f>LEFT(Table3[[#This Row],[Full Names]],FIND(" ",Table3[[#This Row],[Full Names]]))</f>
        <v xml:space="preserve">Jayant </v>
      </c>
      <c r="D45" s="3" t="str">
        <f>RIGHT(Table3[[#This Row],[Full Names]],LEN(Table3[[#This Row],[Full Names]])-FIND(" ",Table3[[#This Row],[Full Names]]))</f>
        <v>Khatri</v>
      </c>
      <c r="E45" s="4">
        <v>31881</v>
      </c>
      <c r="F45" s="3">
        <f>YEAR(Table3[[#This Row],[Date of Birth]])</f>
        <v>1987</v>
      </c>
      <c r="G45" s="6">
        <f>2025-Table3[[#This Row],[year_of_birth]]</f>
        <v>38</v>
      </c>
      <c r="H45" s="7" t="s">
        <v>239</v>
      </c>
      <c r="I45" s="6" t="str">
        <f>IF(ISBLANK(Table3[[#This Row],[Email ID]]),"NO","YES")</f>
        <v>YES</v>
      </c>
      <c r="J45" s="6">
        <v>66000</v>
      </c>
    </row>
    <row r="46" spans="1:10" x14ac:dyDescent="0.35">
      <c r="A46" s="3">
        <v>45</v>
      </c>
      <c r="B46" s="3" t="s">
        <v>186</v>
      </c>
      <c r="C46" s="3" t="str">
        <f>LEFT(Table3[[#This Row],[Full Names]],FIND(" ",Table3[[#This Row],[Full Names]]))</f>
        <v xml:space="preserve">Simran </v>
      </c>
      <c r="D46" s="3" t="str">
        <f>RIGHT(Table3[[#This Row],[Full Names]],LEN(Table3[[#This Row],[Full Names]])-FIND(" ",Table3[[#This Row],[Full Names]]))</f>
        <v>Oberoi</v>
      </c>
      <c r="E46" s="4">
        <v>35042</v>
      </c>
      <c r="F46" s="3">
        <f>YEAR(Table3[[#This Row],[Date of Birth]])</f>
        <v>1995</v>
      </c>
      <c r="G46" s="6">
        <f>2025-Table3[[#This Row],[year_of_birth]]</f>
        <v>30</v>
      </c>
      <c r="H46" s="8"/>
      <c r="I46" s="6" t="str">
        <f>IF(ISBLANK(Table3[[#This Row],[Email ID]]),"NO","YES")</f>
        <v>NO</v>
      </c>
      <c r="J46" s="6">
        <v>76000</v>
      </c>
    </row>
    <row r="47" spans="1:10" x14ac:dyDescent="0.35">
      <c r="A47" s="3">
        <v>46</v>
      </c>
      <c r="B47" s="3" t="s">
        <v>187</v>
      </c>
      <c r="C47" s="3" t="str">
        <f>LEFT(Table3[[#This Row],[Full Names]],FIND(" ",Table3[[#This Row],[Full Names]]))</f>
        <v xml:space="preserve">Rakesh </v>
      </c>
      <c r="D47" s="3" t="str">
        <f>RIGHT(Table3[[#This Row],[Full Names]],LEN(Table3[[#This Row],[Full Names]])-FIND(" ",Table3[[#This Row],[Full Names]]))</f>
        <v>Dutta</v>
      </c>
      <c r="E47" s="4">
        <v>31566</v>
      </c>
      <c r="F47" s="3">
        <f>YEAR(Table3[[#This Row],[Date of Birth]])</f>
        <v>1986</v>
      </c>
      <c r="G47" s="6">
        <f>2025-Table3[[#This Row],[year_of_birth]]</f>
        <v>39</v>
      </c>
      <c r="H47" s="7" t="s">
        <v>240</v>
      </c>
      <c r="I47" s="6" t="str">
        <f>IF(ISBLANK(Table3[[#This Row],[Email ID]]),"NO","YES")</f>
        <v>YES</v>
      </c>
      <c r="J47" s="6">
        <v>80000</v>
      </c>
    </row>
    <row r="48" spans="1:10" x14ac:dyDescent="0.35">
      <c r="A48" s="3">
        <v>47</v>
      </c>
      <c r="B48" s="3" t="s">
        <v>188</v>
      </c>
      <c r="C48" s="3" t="str">
        <f>LEFT(Table3[[#This Row],[Full Names]],FIND(" ",Table3[[#This Row],[Full Names]]))</f>
        <v xml:space="preserve">Leena </v>
      </c>
      <c r="D48" s="3" t="str">
        <f>RIGHT(Table3[[#This Row],[Full Names]],LEN(Table3[[#This Row],[Full Names]])-FIND(" ",Table3[[#This Row],[Full Names]]))</f>
        <v>Madan</v>
      </c>
      <c r="E48" s="4">
        <v>33843</v>
      </c>
      <c r="F48" s="3">
        <f>YEAR(Table3[[#This Row],[Date of Birth]])</f>
        <v>1992</v>
      </c>
      <c r="G48" s="6">
        <f>2025-Table3[[#This Row],[year_of_birth]]</f>
        <v>33</v>
      </c>
      <c r="H48" s="7" t="s">
        <v>241</v>
      </c>
      <c r="I48" s="6" t="str">
        <f>IF(ISBLANK(Table3[[#This Row],[Email ID]]),"NO","YES")</f>
        <v>YES</v>
      </c>
      <c r="J48" s="6">
        <v>87000</v>
      </c>
    </row>
    <row r="49" spans="1:10" x14ac:dyDescent="0.35">
      <c r="A49" s="3">
        <v>48</v>
      </c>
      <c r="B49" s="3" t="s">
        <v>189</v>
      </c>
      <c r="C49" s="3" t="str">
        <f>LEFT(Table3[[#This Row],[Full Names]],FIND(" ",Table3[[#This Row],[Full Names]]))</f>
        <v xml:space="preserve">Pushkar </v>
      </c>
      <c r="D49" s="3" t="str">
        <f>RIGHT(Table3[[#This Row],[Full Names]],LEN(Table3[[#This Row],[Full Names]])-FIND(" ",Table3[[#This Row],[Full Names]]))</f>
        <v>Vaidya</v>
      </c>
      <c r="E49" s="4">
        <v>32890</v>
      </c>
      <c r="F49" s="3">
        <f>YEAR(Table3[[#This Row],[Date of Birth]])</f>
        <v>1990</v>
      </c>
      <c r="G49" s="6">
        <f>2025-Table3[[#This Row],[year_of_birth]]</f>
        <v>35</v>
      </c>
      <c r="H49" s="7" t="s">
        <v>242</v>
      </c>
      <c r="I49" s="6" t="str">
        <f>IF(ISBLANK(Table3[[#This Row],[Email ID]]),"NO","YES")</f>
        <v>YES</v>
      </c>
      <c r="J49" s="6">
        <v>94000</v>
      </c>
    </row>
    <row r="50" spans="1:10" x14ac:dyDescent="0.35">
      <c r="A50" s="3">
        <v>49</v>
      </c>
      <c r="B50" s="3" t="s">
        <v>190</v>
      </c>
      <c r="C50" s="3" t="str">
        <f>LEFT(Table3[[#This Row],[Full Names]],FIND(" ",Table3[[#This Row],[Full Names]]))</f>
        <v xml:space="preserve">Natasha </v>
      </c>
      <c r="D50" s="3" t="str">
        <f>RIGHT(Table3[[#This Row],[Full Names]],LEN(Table3[[#This Row],[Full Names]])-FIND(" ",Table3[[#This Row],[Full Names]]))</f>
        <v>Gokhale</v>
      </c>
      <c r="E50" s="4">
        <v>34475</v>
      </c>
      <c r="F50" s="3">
        <f>YEAR(Table3[[#This Row],[Date of Birth]])</f>
        <v>1994</v>
      </c>
      <c r="G50" s="6">
        <f>2025-Table3[[#This Row],[year_of_birth]]</f>
        <v>31</v>
      </c>
      <c r="H50" s="8"/>
      <c r="I50" s="6" t="str">
        <f>IF(ISBLANK(Table3[[#This Row],[Email ID]]),"NO","YES")</f>
        <v>NO</v>
      </c>
      <c r="J50" s="6">
        <v>54000</v>
      </c>
    </row>
    <row r="51" spans="1:10" x14ac:dyDescent="0.35">
      <c r="A51" s="3">
        <v>50</v>
      </c>
      <c r="B51" s="3" t="s">
        <v>191</v>
      </c>
      <c r="C51" s="3" t="str">
        <f>LEFT(Table3[[#This Row],[Full Names]],FIND(" ",Table3[[#This Row],[Full Names]]))</f>
        <v xml:space="preserve">Amit </v>
      </c>
      <c r="D51" s="3" t="str">
        <f>RIGHT(Table3[[#This Row],[Full Names]],LEN(Table3[[#This Row],[Full Names]])-FIND(" ",Table3[[#This Row],[Full Names]]))</f>
        <v>Trivedi</v>
      </c>
      <c r="E51" s="4">
        <v>32455</v>
      </c>
      <c r="F51" s="3">
        <f>YEAR(Table3[[#This Row],[Date of Birth]])</f>
        <v>1988</v>
      </c>
      <c r="G51" s="6">
        <f>2025-Table3[[#This Row],[year_of_birth]]</f>
        <v>37</v>
      </c>
      <c r="H51" s="7" t="s">
        <v>243</v>
      </c>
      <c r="I51" s="6" t="str">
        <f>IF(ISBLANK(Table3[[#This Row],[Email ID]]),"NO","YES")</f>
        <v>YES</v>
      </c>
      <c r="J51" s="6">
        <v>65000</v>
      </c>
    </row>
  </sheetData>
  <hyperlinks>
    <hyperlink ref="H2" r:id="rId1" display="mailto:arjun.mehta@company.com" xr:uid="{FDDAAE48-A60E-48D4-8F6A-88980AFC02FC}"/>
    <hyperlink ref="H3" r:id="rId2" display="mailto:rohan.gupta@company.com" xr:uid="{C949AA02-69A4-49F4-B2EB-69C12BDEF4BC}"/>
    <hyperlink ref="H4" r:id="rId3" display="mailto:sagar.deshmukh@company.com" xr:uid="{43AB4EAF-BB20-477E-AF69-CF6326714266}"/>
    <hyperlink ref="H5" r:id="rId4" display="mailto:neha.kulkarni@company.com" xr:uid="{00487350-9FE3-45D2-97E5-0AA05CF2CFD8}"/>
    <hyperlink ref="H6" r:id="rId5" display="mailto:pooja.sharma@company.com" xr:uid="{E3F61949-BB37-4FBD-98FB-8ABB8CCD4696}"/>
    <hyperlink ref="H7" r:id="rId6" xr:uid="{F13EC4F3-4E59-4EAC-8836-0A20433077FA}"/>
    <hyperlink ref="H9" r:id="rId7" display="mailto:varun.chatterjee@company.com" xr:uid="{D5A6A468-D533-4C32-8C3F-82D3D6160009}"/>
    <hyperlink ref="H10" r:id="rId8" display="mailto:meera.ramaswamy@company.com" xr:uid="{A02FA8F6-4E90-4A7B-B1D1-386B8C2DDBB2}"/>
    <hyperlink ref="H11" r:id="rId9" display="mailto:sanjay.bhatt@company.com" xr:uid="{74E21FFE-04F5-43C6-90AA-D9298086359D}"/>
    <hyperlink ref="H13" r:id="rId10" display="mailto:dev.malhotra@company.com" xr:uid="{D72BAB8C-5068-4C9C-9255-43DD401F4F2A}"/>
    <hyperlink ref="H14" r:id="rId11" display="mailto:shruti.verma@company.com" xr:uid="{F1EFBE60-8A64-41A3-BD0E-213024913915}"/>
    <hyperlink ref="H15" r:id="rId12" display="mailto:tanmay.saxena@company.com" xr:uid="{4D09DD63-5664-4B95-9164-8739B21565A9}"/>
    <hyperlink ref="H16" r:id="rId13" display="mailto:aditi.menon@company.com" xr:uid="{21D8A106-A566-459B-A53E-ED1977FDB04D}"/>
    <hyperlink ref="H17" r:id="rId14" display="mailto:naveen.patil@company.com" xr:uid="{CF036671-54E2-482B-958E-229D5225883E}"/>
    <hyperlink ref="H18" r:id="rId15" display="mailto:kavya.shetty@company.com" xr:uid="{A4C2484B-DCD0-40EE-8FDB-93634A21461B}"/>
    <hyperlink ref="H19" r:id="rId16" display="mailto:siddharth.reddy@company.com" xr:uid="{4D4F81E3-3680-49F6-8052-14460E6CECDF}"/>
    <hyperlink ref="H20" r:id="rId17" display="mailto:rhea.joseph@company.com" xr:uid="{26046B23-9D27-4E56-A7FD-140FD261C2CE}"/>
    <hyperlink ref="H21" r:id="rId18" display="mailto:pranav.bhatia@company.com" xr:uid="{FCE82A01-8F9D-4956-926A-C6075A67B375}"/>
    <hyperlink ref="H22" r:id="rId19" display="mailto:ananya.paul@company.com" xr:uid="{6E8F9EAA-2985-47ED-839E-3FA79602FB32}"/>
    <hyperlink ref="H23" r:id="rId20" display="mailto:keshav.sethi@company.com" xr:uid="{8D96C3C9-4C28-4D55-AB29-5B3A27C2FA4F}"/>
    <hyperlink ref="H24" r:id="rId21" display="mailto:manasi.kulkarni@company.com" xr:uid="{B7EDCE3F-2CD0-4513-BA41-5C3A861A0487}"/>
    <hyperlink ref="H25" r:id="rId22" display="mailto:harshit.pandey@company.com" xr:uid="{5884443F-C494-452C-868C-FEAFB8D5C574}"/>
    <hyperlink ref="H26" r:id="rId23" display="mailto:kriti.jaiswal@company.com" xr:uid="{10AAF253-F34E-4EAC-8651-9595A41F1360}"/>
    <hyperlink ref="H27" r:id="rId24" display="mailto:ishaan.sharma@company.com" xr:uid="{197F0897-F657-4DA8-94BA-89873C67FD1D}"/>
    <hyperlink ref="H29" r:id="rId25" display="mailto:nikhil.bose@company.com" xr:uid="{2EBA4921-C838-4773-873C-BB4EDA7EB0F4}"/>
    <hyperlink ref="H30" r:id="rId26" display="mailto:sana.merchant@company.com" xr:uid="{D93C707C-A10C-4733-874F-03749D33D6F8}"/>
    <hyperlink ref="H31" r:id="rId27" display="mailto:aditya.rao@company.com" xr:uid="{82F5FF21-9D73-4A4A-9B70-2DBB8CCDDAB3}"/>
    <hyperlink ref="H32" r:id="rId28" display="mailto:shreya.dsouza@company.com" xr:uid="{63A87800-8DC5-4B9F-B420-A5B646956B20}"/>
    <hyperlink ref="H33" r:id="rId29" display="mailto:tejas.khanna@company.com" xr:uid="{5BE3FD31-33EB-42BD-9921-7615BD15AF58}"/>
    <hyperlink ref="H34" r:id="rId30" display="mailto:ritu.chauhan@company.com" xr:uid="{741474C3-5545-4608-8C9F-390EE0F052AB}"/>
    <hyperlink ref="H35" r:id="rId31" display="mailto:yashveer.kanojia@company.com" xr:uid="{E2E8DD65-96DA-4D4E-981A-0DA75D7567A6}"/>
    <hyperlink ref="H37" r:id="rId32" display="mailto:milan.solanki@company.com" xr:uid="{283114A3-BF20-43DD-9637-31590E329D39}"/>
    <hyperlink ref="H38" r:id="rId33" display="mailto:pritam.gaikwad@company.com" xr:uid="{77A991F1-8E45-49DD-9C8D-5B866AE410CC}"/>
    <hyperlink ref="H39" r:id="rId34" display="mailto:roshni.fernandes@company.com" xr:uid="{ABD09C35-7A8B-4414-8CD7-8C14BD4C53B5}"/>
    <hyperlink ref="H40" r:id="rId35" display="mailto:dhruv.bansal@company.com" xr:uid="{62770CB6-19EB-41B9-B62C-68910FD6F194}"/>
    <hyperlink ref="H41" r:id="rId36" display="mailto:naina.chib@company.com" xr:uid="{21F92C81-46A4-42D0-82C7-55D32C8135AB}"/>
    <hyperlink ref="H42" r:id="rId37" display="mailto:zoya.khan@company.com" xr:uid="{1FAB6C94-613E-4A9B-B29B-447712D5303A}"/>
    <hyperlink ref="H43" r:id="rId38" display="mailto:kabir.qureshi@company.com" xr:uid="{5D59E2EB-16B2-4AB0-B176-1A9FBD160BE2}"/>
    <hyperlink ref="H44" r:id="rId39" display="mailto:aradhya.pillai@company.com" xr:uid="{9FB03BAD-1F1B-4D2F-8579-415B5248F47E}"/>
    <hyperlink ref="H45" r:id="rId40" display="mailto:jayant.khatri@company.com" xr:uid="{E5FD63F8-5208-469F-8FCF-6822A93EED83}"/>
    <hyperlink ref="H47" r:id="rId41" display="mailto:rakesh.dutta@company.com" xr:uid="{8285FF3A-680B-4CA0-9BBD-5FCE339B68DD}"/>
    <hyperlink ref="H48" r:id="rId42" display="mailto:leena.madan@company.com" xr:uid="{00CE5730-E3DA-4ECA-9611-01620C0211E5}"/>
    <hyperlink ref="H49" r:id="rId43" display="mailto:pushkar.vaidya@company.com" xr:uid="{B01D2CE1-1C1A-40D2-935A-DED479E8CB80}"/>
    <hyperlink ref="H51" r:id="rId44" display="mailto:amit.trivedi@company.com" xr:uid="{09BC829D-3FE9-4274-92F3-FAE3F20818F2}"/>
  </hyperlinks>
  <pageMargins left="0.7" right="0.7" top="0.75" bottom="0.75" header="0.3" footer="0.3"/>
  <tableParts count="2">
    <tablePart r:id="rId45"/>
    <tablePart r:id="rId4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9A859-9CD8-4260-9ED5-4AB8C110A393}">
  <dimension ref="A1:D51"/>
  <sheetViews>
    <sheetView workbookViewId="0">
      <selection activeCell="D54" sqref="D54"/>
    </sheetView>
  </sheetViews>
  <sheetFormatPr defaultRowHeight="14.5" x14ac:dyDescent="0.35"/>
  <cols>
    <col min="2" max="2" width="14.58203125" customWidth="1"/>
  </cols>
  <sheetData>
    <row r="1" spans="1:4" x14ac:dyDescent="0.35">
      <c r="A1" s="12" t="s">
        <v>404</v>
      </c>
      <c r="B1" s="2" t="s">
        <v>352</v>
      </c>
      <c r="C1" s="2" t="s">
        <v>353</v>
      </c>
      <c r="D1" s="12" t="s">
        <v>405</v>
      </c>
    </row>
    <row r="2" spans="1:4" x14ac:dyDescent="0.35">
      <c r="A2" s="12">
        <v>1</v>
      </c>
      <c r="B2" s="1" t="s">
        <v>354</v>
      </c>
      <c r="C2" s="1">
        <v>78</v>
      </c>
      <c r="D2" s="12" t="str">
        <f>IF(Table5[[#This Row],[Marks]]&gt;90,"Execellent",IF(Table5[[#This Row],[Marks]]&gt;80,"Very good",IF(Table5[[#This Row],[Marks]]&gt;70,"Godd",IF(Table5[[#This Row],[Marks]]&gt;50,"Average","Poor"))))</f>
        <v>Godd</v>
      </c>
    </row>
    <row r="3" spans="1:4" x14ac:dyDescent="0.35">
      <c r="A3" s="12">
        <v>2</v>
      </c>
      <c r="B3" s="1" t="s">
        <v>355</v>
      </c>
      <c r="C3" s="1">
        <v>85</v>
      </c>
      <c r="D3" s="12" t="str">
        <f>IF(Table5[[#This Row],[Marks]]&gt;90,"Execellent",IF(Table5[[#This Row],[Marks]]&gt;80,"Very good",IF(Table5[[#This Row],[Marks]]&gt;70,"Godd",IF(Table5[[#This Row],[Marks]]&gt;50,"Average","Poor"))))</f>
        <v>Very good</v>
      </c>
    </row>
    <row r="4" spans="1:4" x14ac:dyDescent="0.35">
      <c r="A4" s="12">
        <v>3</v>
      </c>
      <c r="B4" s="1" t="s">
        <v>356</v>
      </c>
      <c r="C4" s="1">
        <v>62</v>
      </c>
      <c r="D4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5" spans="1:4" x14ac:dyDescent="0.35">
      <c r="A5" s="12">
        <v>4</v>
      </c>
      <c r="B5" s="1" t="s">
        <v>357</v>
      </c>
      <c r="C5" s="1">
        <v>91</v>
      </c>
      <c r="D5" s="12" t="str">
        <f>IF(Table5[[#This Row],[Marks]]&gt;90,"Execellent",IF(Table5[[#This Row],[Marks]]&gt;80,"Very good",IF(Table5[[#This Row],[Marks]]&gt;70,"Godd",IF(Table5[[#This Row],[Marks]]&gt;50,"Average","Poor"))))</f>
        <v>Execellent</v>
      </c>
    </row>
    <row r="6" spans="1:4" x14ac:dyDescent="0.35">
      <c r="A6" s="12">
        <v>5</v>
      </c>
      <c r="B6" s="1" t="s">
        <v>358</v>
      </c>
      <c r="C6" s="1">
        <v>54</v>
      </c>
      <c r="D6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7" spans="1:4" x14ac:dyDescent="0.35">
      <c r="A7" s="12">
        <v>6</v>
      </c>
      <c r="B7" s="1" t="s">
        <v>359</v>
      </c>
      <c r="C7" s="1">
        <v>88</v>
      </c>
      <c r="D7" s="12" t="str">
        <f>IF(Table5[[#This Row],[Marks]]&gt;90,"Execellent",IF(Table5[[#This Row],[Marks]]&gt;80,"Very good",IF(Table5[[#This Row],[Marks]]&gt;70,"Godd",IF(Table5[[#This Row],[Marks]]&gt;50,"Average","Poor"))))</f>
        <v>Very good</v>
      </c>
    </row>
    <row r="8" spans="1:4" x14ac:dyDescent="0.35">
      <c r="A8" s="12">
        <v>7</v>
      </c>
      <c r="B8" s="1" t="s">
        <v>360</v>
      </c>
      <c r="C8" s="1">
        <v>73</v>
      </c>
      <c r="D8" s="12" t="str">
        <f>IF(Table5[[#This Row],[Marks]]&gt;90,"Execellent",IF(Table5[[#This Row],[Marks]]&gt;80,"Very good",IF(Table5[[#This Row],[Marks]]&gt;70,"Godd",IF(Table5[[#This Row],[Marks]]&gt;50,"Average","Poor"))))</f>
        <v>Godd</v>
      </c>
    </row>
    <row r="9" spans="1:4" x14ac:dyDescent="0.35">
      <c r="A9" s="12">
        <v>8</v>
      </c>
      <c r="B9" s="1" t="s">
        <v>361</v>
      </c>
      <c r="C9" s="1">
        <v>69</v>
      </c>
      <c r="D9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10" spans="1:4" x14ac:dyDescent="0.35">
      <c r="A10" s="12">
        <v>9</v>
      </c>
      <c r="B10" s="1" t="s">
        <v>362</v>
      </c>
      <c r="C10" s="1">
        <v>95</v>
      </c>
      <c r="D10" s="12" t="str">
        <f>IF(Table5[[#This Row],[Marks]]&gt;90,"Execellent",IF(Table5[[#This Row],[Marks]]&gt;80,"Very good",IF(Table5[[#This Row],[Marks]]&gt;70,"Godd",IF(Table5[[#This Row],[Marks]]&gt;50,"Average","Poor"))))</f>
        <v>Execellent</v>
      </c>
    </row>
    <row r="11" spans="1:4" x14ac:dyDescent="0.35">
      <c r="A11" s="12">
        <v>10</v>
      </c>
      <c r="B11" s="1" t="s">
        <v>363</v>
      </c>
      <c r="C11" s="1">
        <v>81</v>
      </c>
      <c r="D11" s="12" t="str">
        <f>IF(Table5[[#This Row],[Marks]]&gt;90,"Execellent",IF(Table5[[#This Row],[Marks]]&gt;80,"Very good",IF(Table5[[#This Row],[Marks]]&gt;70,"Godd",IF(Table5[[#This Row],[Marks]]&gt;50,"Average","Poor"))))</f>
        <v>Very good</v>
      </c>
    </row>
    <row r="12" spans="1:4" x14ac:dyDescent="0.35">
      <c r="A12" s="12">
        <v>11</v>
      </c>
      <c r="B12" s="1" t="s">
        <v>364</v>
      </c>
      <c r="C12" s="1">
        <v>47</v>
      </c>
      <c r="D12" s="12" t="str">
        <f>IF(Table5[[#This Row],[Marks]]&gt;90,"Execellent",IF(Table5[[#This Row],[Marks]]&gt;80,"Very good",IF(Table5[[#This Row],[Marks]]&gt;70,"Godd",IF(Table5[[#This Row],[Marks]]&gt;50,"Average","Poor"))))</f>
        <v>Poor</v>
      </c>
    </row>
    <row r="13" spans="1:4" x14ac:dyDescent="0.35">
      <c r="A13" s="12">
        <v>12</v>
      </c>
      <c r="B13" s="1" t="s">
        <v>365</v>
      </c>
      <c r="C13" s="1">
        <v>66</v>
      </c>
      <c r="D13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14" spans="1:4" x14ac:dyDescent="0.35">
      <c r="A14" s="12">
        <v>13</v>
      </c>
      <c r="B14" s="1" t="s">
        <v>366</v>
      </c>
      <c r="C14" s="1">
        <v>58</v>
      </c>
      <c r="D14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15" spans="1:4" x14ac:dyDescent="0.35">
      <c r="A15" s="12">
        <v>14</v>
      </c>
      <c r="B15" s="1" t="s">
        <v>367</v>
      </c>
      <c r="C15" s="1">
        <v>92</v>
      </c>
      <c r="D15" s="12" t="str">
        <f>IF(Table5[[#This Row],[Marks]]&gt;90,"Execellent",IF(Table5[[#This Row],[Marks]]&gt;80,"Very good",IF(Table5[[#This Row],[Marks]]&gt;70,"Godd",IF(Table5[[#This Row],[Marks]]&gt;50,"Average","Poor"))))</f>
        <v>Execellent</v>
      </c>
    </row>
    <row r="16" spans="1:4" x14ac:dyDescent="0.35">
      <c r="A16" s="12">
        <v>15</v>
      </c>
      <c r="B16" s="1" t="s">
        <v>368</v>
      </c>
      <c r="C16" s="1">
        <v>74</v>
      </c>
      <c r="D16" s="12" t="str">
        <f>IF(Table5[[#This Row],[Marks]]&gt;90,"Execellent",IF(Table5[[#This Row],[Marks]]&gt;80,"Very good",IF(Table5[[#This Row],[Marks]]&gt;70,"Godd",IF(Table5[[#This Row],[Marks]]&gt;50,"Average","Poor"))))</f>
        <v>Godd</v>
      </c>
    </row>
    <row r="17" spans="1:4" x14ac:dyDescent="0.35">
      <c r="A17" s="12">
        <v>16</v>
      </c>
      <c r="B17" s="1" t="s">
        <v>369</v>
      </c>
      <c r="C17" s="1">
        <v>83</v>
      </c>
      <c r="D17" s="12" t="str">
        <f>IF(Table5[[#This Row],[Marks]]&gt;90,"Execellent",IF(Table5[[#This Row],[Marks]]&gt;80,"Very good",IF(Table5[[#This Row],[Marks]]&gt;70,"Godd",IF(Table5[[#This Row],[Marks]]&gt;50,"Average","Poor"))))</f>
        <v>Very good</v>
      </c>
    </row>
    <row r="18" spans="1:4" x14ac:dyDescent="0.35">
      <c r="A18" s="12">
        <v>17</v>
      </c>
      <c r="B18" s="1" t="s">
        <v>370</v>
      </c>
      <c r="C18" s="1">
        <v>60</v>
      </c>
      <c r="D18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19" spans="1:4" ht="29" x14ac:dyDescent="0.35">
      <c r="A19" s="12">
        <v>18</v>
      </c>
      <c r="B19" s="1" t="s">
        <v>371</v>
      </c>
      <c r="C19" s="1">
        <v>89</v>
      </c>
      <c r="D19" s="12" t="str">
        <f>IF(Table5[[#This Row],[Marks]]&gt;90,"Execellent",IF(Table5[[#This Row],[Marks]]&gt;80,"Very good",IF(Table5[[#This Row],[Marks]]&gt;70,"Godd",IF(Table5[[#This Row],[Marks]]&gt;50,"Average","Poor"))))</f>
        <v>Very good</v>
      </c>
    </row>
    <row r="20" spans="1:4" x14ac:dyDescent="0.35">
      <c r="A20" s="12">
        <v>19</v>
      </c>
      <c r="B20" s="1" t="s">
        <v>372</v>
      </c>
      <c r="C20" s="1">
        <v>52</v>
      </c>
      <c r="D20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21" spans="1:4" x14ac:dyDescent="0.35">
      <c r="A21" s="12">
        <v>20</v>
      </c>
      <c r="B21" s="1" t="s">
        <v>373</v>
      </c>
      <c r="C21" s="1">
        <v>97</v>
      </c>
      <c r="D21" s="12" t="str">
        <f>IF(Table5[[#This Row],[Marks]]&gt;90,"Execellent",IF(Table5[[#This Row],[Marks]]&gt;80,"Very good",IF(Table5[[#This Row],[Marks]]&gt;70,"Godd",IF(Table5[[#This Row],[Marks]]&gt;50,"Average","Poor"))))</f>
        <v>Execellent</v>
      </c>
    </row>
    <row r="22" spans="1:4" x14ac:dyDescent="0.35">
      <c r="A22" s="12">
        <v>21</v>
      </c>
      <c r="B22" s="1" t="s">
        <v>374</v>
      </c>
      <c r="C22" s="1">
        <v>45</v>
      </c>
      <c r="D22" s="12" t="str">
        <f>IF(Table5[[#This Row],[Marks]]&gt;90,"Execellent",IF(Table5[[#This Row],[Marks]]&gt;80,"Very good",IF(Table5[[#This Row],[Marks]]&gt;70,"Godd",IF(Table5[[#This Row],[Marks]]&gt;50,"Average","Poor"))))</f>
        <v>Poor</v>
      </c>
    </row>
    <row r="23" spans="1:4" x14ac:dyDescent="0.35">
      <c r="A23" s="12">
        <v>22</v>
      </c>
      <c r="B23" s="1" t="s">
        <v>375</v>
      </c>
      <c r="C23" s="1">
        <v>71</v>
      </c>
      <c r="D23" s="12" t="str">
        <f>IF(Table5[[#This Row],[Marks]]&gt;90,"Execellent",IF(Table5[[#This Row],[Marks]]&gt;80,"Very good",IF(Table5[[#This Row],[Marks]]&gt;70,"Godd",IF(Table5[[#This Row],[Marks]]&gt;50,"Average","Poor"))))</f>
        <v>Godd</v>
      </c>
    </row>
    <row r="24" spans="1:4" x14ac:dyDescent="0.35">
      <c r="A24" s="12">
        <v>23</v>
      </c>
      <c r="B24" s="1" t="s">
        <v>376</v>
      </c>
      <c r="C24" s="1">
        <v>86</v>
      </c>
      <c r="D24" s="12" t="str">
        <f>IF(Table5[[#This Row],[Marks]]&gt;90,"Execellent",IF(Table5[[#This Row],[Marks]]&gt;80,"Very good",IF(Table5[[#This Row],[Marks]]&gt;70,"Godd",IF(Table5[[#This Row],[Marks]]&gt;50,"Average","Poor"))))</f>
        <v>Very good</v>
      </c>
    </row>
    <row r="25" spans="1:4" x14ac:dyDescent="0.35">
      <c r="A25" s="12">
        <v>24</v>
      </c>
      <c r="B25" s="1" t="s">
        <v>377</v>
      </c>
      <c r="C25" s="1">
        <v>64</v>
      </c>
      <c r="D25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26" spans="1:4" x14ac:dyDescent="0.35">
      <c r="A26" s="12">
        <v>25</v>
      </c>
      <c r="B26" s="1" t="s">
        <v>378</v>
      </c>
      <c r="C26" s="1">
        <v>79</v>
      </c>
      <c r="D26" s="12" t="str">
        <f>IF(Table5[[#This Row],[Marks]]&gt;90,"Execellent",IF(Table5[[#This Row],[Marks]]&gt;80,"Very good",IF(Table5[[#This Row],[Marks]]&gt;70,"Godd",IF(Table5[[#This Row],[Marks]]&gt;50,"Average","Poor"))))</f>
        <v>Godd</v>
      </c>
    </row>
    <row r="27" spans="1:4" x14ac:dyDescent="0.35">
      <c r="A27" s="12">
        <v>26</v>
      </c>
      <c r="B27" s="1" t="s">
        <v>379</v>
      </c>
      <c r="C27" s="1">
        <v>90</v>
      </c>
      <c r="D27" s="12" t="str">
        <f>IF(Table5[[#This Row],[Marks]]&gt;90,"Execellent",IF(Table5[[#This Row],[Marks]]&gt;80,"Very good",IF(Table5[[#This Row],[Marks]]&gt;70,"Godd",IF(Table5[[#This Row],[Marks]]&gt;50,"Average","Poor"))))</f>
        <v>Very good</v>
      </c>
    </row>
    <row r="28" spans="1:4" x14ac:dyDescent="0.35">
      <c r="A28" s="12">
        <v>27</v>
      </c>
      <c r="B28" s="1" t="s">
        <v>380</v>
      </c>
      <c r="C28" s="1">
        <v>56</v>
      </c>
      <c r="D28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29" spans="1:4" x14ac:dyDescent="0.35">
      <c r="A29" s="12">
        <v>28</v>
      </c>
      <c r="B29" s="1" t="s">
        <v>381</v>
      </c>
      <c r="C29" s="1">
        <v>84</v>
      </c>
      <c r="D29" s="12" t="str">
        <f>IF(Table5[[#This Row],[Marks]]&gt;90,"Execellent",IF(Table5[[#This Row],[Marks]]&gt;80,"Very good",IF(Table5[[#This Row],[Marks]]&gt;70,"Godd",IF(Table5[[#This Row],[Marks]]&gt;50,"Average","Poor"))))</f>
        <v>Very good</v>
      </c>
    </row>
    <row r="30" spans="1:4" x14ac:dyDescent="0.35">
      <c r="A30" s="12">
        <v>29</v>
      </c>
      <c r="B30" s="1" t="s">
        <v>382</v>
      </c>
      <c r="C30" s="1">
        <v>68</v>
      </c>
      <c r="D30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31" spans="1:4" x14ac:dyDescent="0.35">
      <c r="A31" s="12">
        <v>30</v>
      </c>
      <c r="B31" s="1" t="s">
        <v>383</v>
      </c>
      <c r="C31" s="1">
        <v>72</v>
      </c>
      <c r="D31" s="12" t="str">
        <f>IF(Table5[[#This Row],[Marks]]&gt;90,"Execellent",IF(Table5[[#This Row],[Marks]]&gt;80,"Very good",IF(Table5[[#This Row],[Marks]]&gt;70,"Godd",IF(Table5[[#This Row],[Marks]]&gt;50,"Average","Poor"))))</f>
        <v>Godd</v>
      </c>
    </row>
    <row r="32" spans="1:4" x14ac:dyDescent="0.35">
      <c r="A32" s="12">
        <v>31</v>
      </c>
      <c r="B32" s="1" t="s">
        <v>384</v>
      </c>
      <c r="C32" s="1">
        <v>59</v>
      </c>
      <c r="D32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33" spans="1:4" x14ac:dyDescent="0.35">
      <c r="A33" s="12">
        <v>32</v>
      </c>
      <c r="B33" s="1" t="s">
        <v>385</v>
      </c>
      <c r="C33" s="1">
        <v>82</v>
      </c>
      <c r="D33" s="12" t="str">
        <f>IF(Table5[[#This Row],[Marks]]&gt;90,"Execellent",IF(Table5[[#This Row],[Marks]]&gt;80,"Very good",IF(Table5[[#This Row],[Marks]]&gt;70,"Godd",IF(Table5[[#This Row],[Marks]]&gt;50,"Average","Poor"))))</f>
        <v>Very good</v>
      </c>
    </row>
    <row r="34" spans="1:4" ht="29" x14ac:dyDescent="0.35">
      <c r="A34" s="12">
        <v>33</v>
      </c>
      <c r="B34" s="1" t="s">
        <v>386</v>
      </c>
      <c r="C34" s="1">
        <v>94</v>
      </c>
      <c r="D34" s="12" t="str">
        <f>IF(Table5[[#This Row],[Marks]]&gt;90,"Execellent",IF(Table5[[#This Row],[Marks]]&gt;80,"Very good",IF(Table5[[#This Row],[Marks]]&gt;70,"Godd",IF(Table5[[#This Row],[Marks]]&gt;50,"Average","Poor"))))</f>
        <v>Execellent</v>
      </c>
    </row>
    <row r="35" spans="1:4" x14ac:dyDescent="0.35">
      <c r="A35" s="12">
        <v>34</v>
      </c>
      <c r="B35" s="1" t="s">
        <v>387</v>
      </c>
      <c r="C35" s="1">
        <v>61</v>
      </c>
      <c r="D35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36" spans="1:4" x14ac:dyDescent="0.35">
      <c r="A36" s="12">
        <v>35</v>
      </c>
      <c r="B36" s="1" t="s">
        <v>388</v>
      </c>
      <c r="C36" s="1">
        <v>76</v>
      </c>
      <c r="D36" s="12" t="str">
        <f>IF(Table5[[#This Row],[Marks]]&gt;90,"Execellent",IF(Table5[[#This Row],[Marks]]&gt;80,"Very good",IF(Table5[[#This Row],[Marks]]&gt;70,"Godd",IF(Table5[[#This Row],[Marks]]&gt;50,"Average","Poor"))))</f>
        <v>Godd</v>
      </c>
    </row>
    <row r="37" spans="1:4" x14ac:dyDescent="0.35">
      <c r="A37" s="12">
        <v>36</v>
      </c>
      <c r="B37" s="1" t="s">
        <v>389</v>
      </c>
      <c r="C37" s="1">
        <v>87</v>
      </c>
      <c r="D37" s="12" t="str">
        <f>IF(Table5[[#This Row],[Marks]]&gt;90,"Execellent",IF(Table5[[#This Row],[Marks]]&gt;80,"Very good",IF(Table5[[#This Row],[Marks]]&gt;70,"Godd",IF(Table5[[#This Row],[Marks]]&gt;50,"Average","Poor"))))</f>
        <v>Very good</v>
      </c>
    </row>
    <row r="38" spans="1:4" x14ac:dyDescent="0.35">
      <c r="A38" s="12">
        <v>37</v>
      </c>
      <c r="B38" s="1" t="s">
        <v>390</v>
      </c>
      <c r="C38" s="1">
        <v>49</v>
      </c>
      <c r="D38" s="12" t="str">
        <f>IF(Table5[[#This Row],[Marks]]&gt;90,"Execellent",IF(Table5[[#This Row],[Marks]]&gt;80,"Very good",IF(Table5[[#This Row],[Marks]]&gt;70,"Godd",IF(Table5[[#This Row],[Marks]]&gt;50,"Average","Poor"))))</f>
        <v>Poor</v>
      </c>
    </row>
    <row r="39" spans="1:4" x14ac:dyDescent="0.35">
      <c r="A39" s="12">
        <v>38</v>
      </c>
      <c r="B39" s="1" t="s">
        <v>391</v>
      </c>
      <c r="C39" s="1">
        <v>65</v>
      </c>
      <c r="D39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40" spans="1:4" x14ac:dyDescent="0.35">
      <c r="A40" s="12">
        <v>39</v>
      </c>
      <c r="B40" s="1" t="s">
        <v>392</v>
      </c>
      <c r="C40" s="1">
        <v>70</v>
      </c>
      <c r="D40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41" spans="1:4" x14ac:dyDescent="0.35">
      <c r="A41" s="12">
        <v>40</v>
      </c>
      <c r="B41" s="1" t="s">
        <v>393</v>
      </c>
      <c r="C41" s="1">
        <v>93</v>
      </c>
      <c r="D41" s="12" t="str">
        <f>IF(Table5[[#This Row],[Marks]]&gt;90,"Execellent",IF(Table5[[#This Row],[Marks]]&gt;80,"Very good",IF(Table5[[#This Row],[Marks]]&gt;70,"Godd",IF(Table5[[#This Row],[Marks]]&gt;50,"Average","Poor"))))</f>
        <v>Execellent</v>
      </c>
    </row>
    <row r="42" spans="1:4" x14ac:dyDescent="0.35">
      <c r="A42" s="12">
        <v>41</v>
      </c>
      <c r="B42" s="1" t="s">
        <v>394</v>
      </c>
      <c r="C42" s="1">
        <v>55</v>
      </c>
      <c r="D42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43" spans="1:4" x14ac:dyDescent="0.35">
      <c r="A43" s="12">
        <v>42</v>
      </c>
      <c r="B43" s="1" t="s">
        <v>395</v>
      </c>
      <c r="C43" s="1">
        <v>80</v>
      </c>
      <c r="D43" s="12" t="str">
        <f>IF(Table5[[#This Row],[Marks]]&gt;90,"Execellent",IF(Table5[[#This Row],[Marks]]&gt;80,"Very good",IF(Table5[[#This Row],[Marks]]&gt;70,"Godd",IF(Table5[[#This Row],[Marks]]&gt;50,"Average","Poor"))))</f>
        <v>Godd</v>
      </c>
    </row>
    <row r="44" spans="1:4" x14ac:dyDescent="0.35">
      <c r="A44" s="12">
        <v>43</v>
      </c>
      <c r="B44" s="1" t="s">
        <v>396</v>
      </c>
      <c r="C44" s="1">
        <v>67</v>
      </c>
      <c r="D44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45" spans="1:4" x14ac:dyDescent="0.35">
      <c r="A45" s="12">
        <v>44</v>
      </c>
      <c r="B45" s="1" t="s">
        <v>397</v>
      </c>
      <c r="C45" s="1">
        <v>75</v>
      </c>
      <c r="D45" s="12" t="str">
        <f>IF(Table5[[#This Row],[Marks]]&gt;90,"Execellent",IF(Table5[[#This Row],[Marks]]&gt;80,"Very good",IF(Table5[[#This Row],[Marks]]&gt;70,"Godd",IF(Table5[[#This Row],[Marks]]&gt;50,"Average","Poor"))))</f>
        <v>Godd</v>
      </c>
    </row>
    <row r="46" spans="1:4" x14ac:dyDescent="0.35">
      <c r="A46" s="12">
        <v>45</v>
      </c>
      <c r="B46" s="1" t="s">
        <v>398</v>
      </c>
      <c r="C46" s="1">
        <v>96</v>
      </c>
      <c r="D46" s="12" t="str">
        <f>IF(Table5[[#This Row],[Marks]]&gt;90,"Execellent",IF(Table5[[#This Row],[Marks]]&gt;80,"Very good",IF(Table5[[#This Row],[Marks]]&gt;70,"Godd",IF(Table5[[#This Row],[Marks]]&gt;50,"Average","Poor"))))</f>
        <v>Execellent</v>
      </c>
    </row>
    <row r="47" spans="1:4" x14ac:dyDescent="0.35">
      <c r="A47" s="12">
        <v>46</v>
      </c>
      <c r="B47" s="1" t="s">
        <v>399</v>
      </c>
      <c r="C47" s="1">
        <v>43</v>
      </c>
      <c r="D47" s="12" t="str">
        <f>IF(Table5[[#This Row],[Marks]]&gt;90,"Execellent",IF(Table5[[#This Row],[Marks]]&gt;80,"Very good",IF(Table5[[#This Row],[Marks]]&gt;70,"Godd",IF(Table5[[#This Row],[Marks]]&gt;50,"Average","Poor"))))</f>
        <v>Poor</v>
      </c>
    </row>
    <row r="48" spans="1:4" x14ac:dyDescent="0.35">
      <c r="A48" s="12">
        <v>47</v>
      </c>
      <c r="B48" s="1" t="s">
        <v>400</v>
      </c>
      <c r="C48" s="1">
        <v>77</v>
      </c>
      <c r="D48" s="12" t="str">
        <f>IF(Table5[[#This Row],[Marks]]&gt;90,"Execellent",IF(Table5[[#This Row],[Marks]]&gt;80,"Very good",IF(Table5[[#This Row],[Marks]]&gt;70,"Godd",IF(Table5[[#This Row],[Marks]]&gt;50,"Average","Poor"))))</f>
        <v>Godd</v>
      </c>
    </row>
    <row r="49" spans="1:4" x14ac:dyDescent="0.35">
      <c r="A49" s="12">
        <v>48</v>
      </c>
      <c r="B49" s="1" t="s">
        <v>401</v>
      </c>
      <c r="C49" s="1">
        <v>63</v>
      </c>
      <c r="D49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  <row r="50" spans="1:4" x14ac:dyDescent="0.35">
      <c r="A50" s="12">
        <v>49</v>
      </c>
      <c r="B50" s="1" t="s">
        <v>402</v>
      </c>
      <c r="C50" s="1">
        <v>98</v>
      </c>
      <c r="D50" s="12" t="str">
        <f>IF(Table5[[#This Row],[Marks]]&gt;90,"Execellent",IF(Table5[[#This Row],[Marks]]&gt;80,"Very good",IF(Table5[[#This Row],[Marks]]&gt;70,"Godd",IF(Table5[[#This Row],[Marks]]&gt;50,"Average","Poor"))))</f>
        <v>Execellent</v>
      </c>
    </row>
    <row r="51" spans="1:4" x14ac:dyDescent="0.35">
      <c r="A51" s="12">
        <v>50</v>
      </c>
      <c r="B51" s="1" t="s">
        <v>403</v>
      </c>
      <c r="C51" s="1">
        <v>57</v>
      </c>
      <c r="D51" s="12" t="str">
        <f>IF(Table5[[#This Row],[Marks]]&gt;90,"Execellent",IF(Table5[[#This Row],[Marks]]&gt;80,"Very good",IF(Table5[[#This Row],[Marks]]&gt;70,"Godd",IF(Table5[[#This Row],[Marks]]&gt;50,"Average","Poor"))))</f>
        <v>Average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sales_ids</vt:lpstr>
      <vt:lpstr>Products</vt:lpstr>
      <vt:lpstr>Names</vt:lpstr>
      <vt:lpstr>students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Sagar Neelappa Beedi</dc:creator>
  <cp:lastModifiedBy>3525</cp:lastModifiedBy>
  <dcterms:created xsi:type="dcterms:W3CDTF">2015-06-05T18:17:20Z</dcterms:created>
  <dcterms:modified xsi:type="dcterms:W3CDTF">2025-12-13T17:23:44Z</dcterms:modified>
</cp:coreProperties>
</file>