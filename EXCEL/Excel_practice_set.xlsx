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data" ContentType="application/vnd.openxmlformats-officedocument.model+data"/>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3.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6.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4.xml" ContentType="application/vnd.openxmlformats-officedocument.spreadsheetml.tab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5.xml" ContentType="application/vnd.openxmlformats-officedocument.spreadsheetml.table+xml"/>
  <Override PartName="/xl/queryTables/queryTable1.xml" ContentType="application/vnd.openxmlformats-officedocument.spreadsheetml.queryTable+xml"/>
  <Override PartName="/xl/tables/table6.xml" ContentType="application/vnd.openxmlformats-officedocument.spreadsheetml.table+xml"/>
  <Override PartName="/xl/queryTables/queryTable2.xml" ContentType="application/vnd.openxmlformats-officedocument.spreadsheetml.queryTable+xml"/>
  <Override PartName="/xl/tables/table7.xml" ContentType="application/vnd.openxmlformats-officedocument.spreadsheetml.table+xml"/>
  <Override PartName="/xl/queryTables/queryTable3.xml" ContentType="application/vnd.openxmlformats-officedocument.spreadsheetml.queryTable+xml"/>
  <Override PartName="/xl/tables/table8.xml" ContentType="application/vnd.openxmlformats-officedocument.spreadsheetml.table+xml"/>
  <Override PartName="/xl/queryTables/queryTable4.xml" ContentType="application/vnd.openxmlformats-officedocument.spreadsheetml.queryTable+xml"/>
  <Override PartName="/xl/tables/table9.xml" ContentType="application/vnd.openxmlformats-officedocument.spreadsheetml.table+xml"/>
  <Override PartName="/xl/queryTables/queryTable5.xml" ContentType="application/vnd.openxmlformats-officedocument.spreadsheetml.queryTable+xml"/>
  <Override PartName="/xl/tables/table10.xml" ContentType="application/vnd.openxmlformats-officedocument.spreadsheetml.table+xml"/>
  <Override PartName="/xl/queryTables/queryTable6.xml" ContentType="application/vnd.openxmlformats-officedocument.spreadsheetml.queryTab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1.xml" ContentType="application/vnd.openxmlformats-officedocument.spreadsheetml.table+xml"/>
  <Override PartName="/xl/tables/table12.xml" ContentType="application/vnd.openxmlformats-officedocument.spreadsheetml.table+xml"/>
  <Override PartName="/xl/drawings/drawing8.xml" ContentType="application/vnd.openxmlformats-officedocument.drawing+xml"/>
  <Override PartName="/xl/ctrlProps/ctrlProp1.xml" ContentType="application/vnd.ms-excel.controlproperties+xml"/>
  <Override PartName="/xl/tables/table13.xml" ContentType="application/vnd.openxmlformats-officedocument.spreadsheetml.table+xml"/>
  <Override PartName="/xl/tables/table14.xml" ContentType="application/vnd.openxmlformats-officedocument.spreadsheetml.table+xml"/>
  <Override PartName="/xl/queryTables/queryTable7.xml" ContentType="application/vnd.openxmlformats-officedocument.spreadsheetml.queryTable+xml"/>
  <Override PartName="/xl/tables/table15.xml" ContentType="application/vnd.openxmlformats-officedocument.spreadsheetml.table+xml"/>
  <Override PartName="/xl/queryTables/queryTable8.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hidePivotFieldList="1"/>
  <mc:AlternateContent xmlns:mc="http://schemas.openxmlformats.org/markup-compatibility/2006">
    <mc:Choice Requires="x15">
      <x15ac:absPath xmlns:x15ac="http://schemas.microsoft.com/office/spreadsheetml/2010/11/ac" url="D:\data-analytics-porfolio\data-analytics-portfolio\EXCEL\"/>
    </mc:Choice>
  </mc:AlternateContent>
  <xr:revisionPtr revIDLastSave="0" documentId="13_ncr:1_{D14D3AD8-3B09-4639-8DE7-0A8C71CAA30A}" xr6:coauthVersionLast="36" xr6:coauthVersionMax="36" xr10:uidLastSave="{00000000-0000-0000-0000-000000000000}"/>
  <bookViews>
    <workbookView xWindow="0" yWindow="0" windowWidth="22264" windowHeight="12642" firstSheet="19" activeTab="24" xr2:uid="{00000000-000D-0000-FFFF-FFFF00000000}"/>
  </bookViews>
  <sheets>
    <sheet name="pivot_tables" sheetId="17" r:id="rId1"/>
    <sheet name="pie chart" sheetId="20" r:id="rId2"/>
    <sheet name="line chart" sheetId="24" r:id="rId3"/>
    <sheet name="bar_chart" sheetId="34" r:id="rId4"/>
    <sheet name="sales_table" sheetId="30" r:id="rId5"/>
    <sheet name="sparklines" sheetId="32" r:id="rId6"/>
    <sheet name="region code" sheetId="21" r:id="rId7"/>
    <sheet name="product_catsubcat" sheetId="22" r:id="rId8"/>
    <sheet name="sales_profit_relation" sheetId="31" r:id="rId9"/>
    <sheet name="cond_form" sheetId="33" r:id="rId10"/>
    <sheet name="Name_range" sheetId="35" r:id="rId11"/>
    <sheet name="sales_data" sheetId="45" r:id="rId12"/>
    <sheet name="returns" sheetId="44" r:id="rId13"/>
    <sheet name="Sheet2" sheetId="48" r:id="rId14"/>
    <sheet name="region_dateils" sheetId="43" r:id="rId15"/>
    <sheet name="products_details" sheetId="42" r:id="rId16"/>
    <sheet name="mar_apr_sales" sheetId="41" r:id="rId17"/>
    <sheet name="jan_feb_sales" sheetId="40" r:id="rId18"/>
    <sheet name="named_range" sheetId="47" r:id="rId19"/>
    <sheet name="data validation" sheetId="49" r:id="rId20"/>
    <sheet name="macro creation" sheetId="50" r:id="rId21"/>
    <sheet name="macro testing" sheetId="51" r:id="rId22"/>
    <sheet name="Sheet6" sheetId="52" r:id="rId23"/>
    <sheet name="Sheet9" sheetId="55" r:id="rId24"/>
    <sheet name="Sheet10" sheetId="56" r:id="rId25"/>
    <sheet name="refreshing connection " sheetId="53" r:id="rId26"/>
    <sheet name="Sheet8" sheetId="54" r:id="rId27"/>
  </sheets>
  <externalReferences>
    <externalReference r:id="rId28"/>
  </externalReferences>
  <definedNames>
    <definedName name="_xlcn.WorksheetConnection_Excel_practice_set.xlsxsales_per_month1" hidden="1">sales_per_month[]</definedName>
    <definedName name="_xlcn.WorksheetConnection_Excel_practice_set.xlsxTable11" hidden="1">Table1[]</definedName>
    <definedName name="_xlcn.WorksheetConnection_Excel_practice_set.xlsxTable121" hidden="1">Table12[]</definedName>
    <definedName name="_xlcn.WorksheetConnection_Excel_practice_set.xlsxTable61" hidden="1">Table6[]</definedName>
    <definedName name="ExternalData_1" localSheetId="17" hidden="1">jan_feb_sales!$A$1:$F$36</definedName>
    <definedName name="ExternalData_1" localSheetId="24" hidden="1">Sheet10!$A$1:$D$6</definedName>
    <definedName name="ExternalData_1" localSheetId="23" hidden="1">Sheet9!$A$1:$C$12</definedName>
    <definedName name="ExternalData_2" localSheetId="16" hidden="1">mar_apr_sales!$A$1:$F$10</definedName>
    <definedName name="ExternalData_3" localSheetId="15" hidden="1">products_details!$A$1:$C$11</definedName>
    <definedName name="ExternalData_4" localSheetId="14" hidden="1">region_dateils!$A$1:$B$11</definedName>
    <definedName name="ExternalData_5" localSheetId="12" hidden="1">returns!$A$1:$B$8</definedName>
    <definedName name="ExternalData_6" localSheetId="11" hidden="1">sales_data!$A$1:$L$45</definedName>
    <definedName name="index">OFFSET(named_range!$A$2,0,0,COUNTA(named_range!$A:$A)-1,1)</definedName>
    <definedName name="m">OFFSET(#REF!,0,0,COUNTA(#REF!)-1,1)</definedName>
    <definedName name="Month">OFFSET(Name_range!$A$2,0,0,COUNTA([1]Sheet21!$A:$A)-1,1)</definedName>
    <definedName name="s">OFFSET(#REF!,0,0,COUNTA(#REF!)-1,1)</definedName>
    <definedName name="Sales">OFFSET(Name_range!$B$2,0,0,COUNTA(Name_range!$B:$B)-1,1)</definedName>
    <definedName name="Slicer_Product_Name">#N/A</definedName>
    <definedName name="Slicer_region">#N/A</definedName>
    <definedName name="Value">OFFSET(named_range!$B$2,0,0,COUNTA(named_range!$B:$B)-1,1)</definedName>
  </definedNames>
  <calcPr calcId="191029"/>
  <pivotCaches>
    <pivotCache cacheId="0" r:id="rId29"/>
    <pivotCache cacheId="1" r:id="rId30"/>
    <pivotCache cacheId="15" r:id="rId31"/>
    <pivotCache cacheId="19" r:id="rId32"/>
  </pivotCaches>
  <extLst>
    <ext xmlns:x14="http://schemas.microsoft.com/office/spreadsheetml/2009/9/main" uri="{BBE1A952-AA13-448e-AADC-164F8A28A991}">
      <x14:slicerCaches>
        <x14:slicerCache r:id="rId33"/>
        <x14:slicerCache r:id="rId3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6" name="pro_sub_cat" connection="WorksheetConnection_Excel_practice_set.xlsx!Table6"/>
          <x15:modelTable id="Table12" name="products_sale_table" connection="WorksheetConnection_Excel_practice_set.xlsx!Table12"/>
          <x15:modelTable id="Table1" name="region_code_table" connection="WorksheetConnection_Excel_practice_set.xlsx!Table1"/>
          <x15:modelTable id="sales_per_month" name="sales_per_month" connection="WorksheetConnection_Excel_practice_set.xlsx!sales_per_month"/>
        </x15:modelTables>
        <x15:modelRelationships>
          <x15:modelRelationship fromTable="products_sale_table" fromColumn="region" toTable="region_code_table" toColumn="region"/>
          <x15:modelRelationship fromTable="products_sale_table" fromColumn="id" toTable="pro_sub_cat" toColumn="Product ID"/>
        </x15:modelRelationships>
      </x15:dataModel>
    </ext>
  </extLst>
</workbook>
</file>

<file path=xl/calcChain.xml><?xml version="1.0" encoding="utf-8"?>
<calcChain xmlns="http://schemas.openxmlformats.org/spreadsheetml/2006/main">
  <c r="G6" i="56" l="1"/>
  <c r="F4" i="52"/>
  <c r="G6" i="3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596AFAB-7F15-41DB-80A7-65B42130D3A8}" keepAlive="1" name="Query - ID,Sales,Quantity,Discount" description="Connection to the 'ID,Sales,Quantity,Discount' query in the workbook." type="5" refreshedVersion="6" background="1" saveData="1">
    <dbPr connection="Provider=Microsoft.Mashup.OleDb.1;Data Source=$Workbook$;Location=ID,Sales,Quantity,Discount;Extended Properties=&quot;&quot;" command="SELECT * FROM [ID,Sales,Quantity,Discount]"/>
  </connection>
  <connection id="2" xr16:uid="{AD6F0BA3-29D0-4CC1-B2CC-3B987CD14B3D}" keepAlive="1" name="Query - products_details" description="Connection to the 'products_details' query in the workbook." type="5" refreshedVersion="6" background="1" saveData="1">
    <dbPr connection="Provider=Microsoft.Mashup.OleDb.1;Data Source=$Workbook$;Location=products_details;Extended Properties=&quot;&quot;" command="SELECT * FROM [products_details]"/>
  </connection>
  <connection id="3" xr16:uid="{5271054E-89E7-4964-BD9B-8BC00AAC76BE}" keepAlive="1" name="Query - products_details (2)" description="Connection to the 'products_details (2)' query in the workbook." type="5" refreshedVersion="6" background="1" saveData="1">
    <dbPr connection="Provider=Microsoft.Mashup.OleDb.1;Data Source=$Workbook$;Location=products_details (2);Extended Properties=&quot;&quot;" command="SELECT * FROM [products_details (2)]"/>
  </connection>
  <connection id="4" xr16:uid="{2205ED0B-5D04-4C03-81F1-1EA0FCBA9904}" keepAlive="1" name="Query - region_details" description="Connection to the 'region_details' query in the workbook." type="5" refreshedVersion="6" background="1" saveData="1">
    <dbPr connection="Provider=Microsoft.Mashup.OleDb.1;Data Source=$Workbook$;Location=region_details;Extended Properties=&quot;&quot;" command="SELECT * FROM [region_details]"/>
  </connection>
  <connection id="5" xr16:uid="{7C40706B-D8E9-4B56-819C-2F6552DF3E41}" keepAlive="1" name="Query - returns" description="Connection to the 'returns' query in the workbook." type="5" refreshedVersion="6" background="1" saveData="1">
    <dbPr connection="Provider=Microsoft.Mashup.OleDb.1;Data Source=$Workbook$;Location=returns;Extended Properties=&quot;&quot;" command="SELECT * FROM [returns]"/>
  </connection>
  <connection id="6" xr16:uid="{5324EB08-7215-43C6-BFF8-B126C6EC2E60}" keepAlive="1" name="Query - sales_jan_feb" description="Connection to the 'sales_jan_feb' query in the workbook." type="5" refreshedVersion="6" background="1" saveData="1">
    <dbPr connection="Provider=Microsoft.Mashup.OleDb.1;Data Source=$Workbook$;Location=sales_jan_feb;Extended Properties=&quot;&quot;" command="SELECT * FROM [sales_jan_feb]"/>
  </connection>
  <connection id="7" xr16:uid="{F05C9360-48CF-4633-9EB1-06E39562E5B5}" keepAlive="1" name="Query - sales_mar_apr" description="Connection to the 'sales_mar_apr' query in the workbook." type="5" refreshedVersion="6" background="1" saveData="1">
    <dbPr connection="Provider=Microsoft.Mashup.OleDb.1;Data Source=$Workbook$;Location=sales_mar_apr;Extended Properties=&quot;&quot;" command="SELECT * FROM [sales_mar_apr]"/>
  </connection>
  <connection id="8" xr16:uid="{804996C8-C915-4E53-968B-5D8DE36A4316}" keepAlive="1" name="Query - sales_per_month" description="Connection to the 'sales_per_month' query in the workbook." type="5" refreshedVersion="6" background="1" saveData="1">
    <dbPr connection="Provider=Microsoft.Mashup.OleDb.1;Data Source=$Workbook$;Location=sales_per_month;Extended Properties=&quot;&quot;" command="SELECT * FROM [sales_per_month]"/>
  </connection>
  <connection id="9" xr16:uid="{0C3E3F63-462F-44FF-A21D-23D50819D82B}"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0" xr16:uid="{6729FE9C-F34A-4D58-BE1E-A725A02F38A5}" name="WorksheetConnection_Excel_practice_set.xlsx!sales_per_month" type="102" refreshedVersion="6" minRefreshableVersion="5">
    <extLst>
      <ext xmlns:x15="http://schemas.microsoft.com/office/spreadsheetml/2010/11/main" uri="{DE250136-89BD-433C-8126-D09CA5730AF9}">
        <x15:connection id="sales_per_month">
          <x15:rangePr sourceName="_xlcn.WorksheetConnection_Excel_practice_set.xlsxsales_per_month1"/>
        </x15:connection>
      </ext>
    </extLst>
  </connection>
  <connection id="11" xr16:uid="{7BF76349-BA8C-4A2D-8871-36A0D402EFE7}" name="WorksheetConnection_Excel_practice_set.xlsx!Table1" type="102" refreshedVersion="6" minRefreshableVersion="5">
    <extLst>
      <ext xmlns:x15="http://schemas.microsoft.com/office/spreadsheetml/2010/11/main" uri="{DE250136-89BD-433C-8126-D09CA5730AF9}">
        <x15:connection id="Table1">
          <x15:rangePr sourceName="_xlcn.WorksheetConnection_Excel_practice_set.xlsxTable11"/>
        </x15:connection>
      </ext>
    </extLst>
  </connection>
  <connection id="12" xr16:uid="{167D8BBC-390E-40D3-9EBF-084097DD59B7}" name="WorksheetConnection_Excel_practice_set.xlsx!Table12" type="102" refreshedVersion="6" minRefreshableVersion="5">
    <extLst>
      <ext xmlns:x15="http://schemas.microsoft.com/office/spreadsheetml/2010/11/main" uri="{DE250136-89BD-433C-8126-D09CA5730AF9}">
        <x15:connection id="Table12">
          <x15:rangePr sourceName="_xlcn.WorksheetConnection_Excel_practice_set.xlsxTable121"/>
        </x15:connection>
      </ext>
    </extLst>
  </connection>
  <connection id="13" xr16:uid="{F995CE46-96AC-4AED-8C8A-21CC373F59BD}" name="WorksheetConnection_Excel_practice_set.xlsx!Table6" type="102" refreshedVersion="6" minRefreshableVersion="5">
    <extLst>
      <ext xmlns:x15="http://schemas.microsoft.com/office/spreadsheetml/2010/11/main" uri="{DE250136-89BD-433C-8126-D09CA5730AF9}">
        <x15:connection id="Table6">
          <x15:rangePr sourceName="_xlcn.WorksheetConnection_Excel_practice_set.xlsxTable61"/>
        </x15:connection>
      </ext>
    </extLst>
  </connection>
</connections>
</file>

<file path=xl/sharedStrings.xml><?xml version="1.0" encoding="utf-8"?>
<sst xmlns="http://schemas.openxmlformats.org/spreadsheetml/2006/main" count="1110" uniqueCount="354">
  <si>
    <t>Product ID</t>
  </si>
  <si>
    <t>Product Name</t>
  </si>
  <si>
    <t>P001</t>
  </si>
  <si>
    <t>P002</t>
  </si>
  <si>
    <t>P003</t>
  </si>
  <si>
    <t>P004</t>
  </si>
  <si>
    <t>P005</t>
  </si>
  <si>
    <t>P006</t>
  </si>
  <si>
    <t>P007</t>
  </si>
  <si>
    <t>P008</t>
  </si>
  <si>
    <t>P009</t>
  </si>
  <si>
    <t>P010</t>
  </si>
  <si>
    <t>P011</t>
  </si>
  <si>
    <t>P012</t>
  </si>
  <si>
    <t>P013</t>
  </si>
  <si>
    <t>P014</t>
  </si>
  <si>
    <t>P015</t>
  </si>
  <si>
    <t>P016</t>
  </si>
  <si>
    <t>P017</t>
  </si>
  <si>
    <t>P018</t>
  </si>
  <si>
    <t>P019</t>
  </si>
  <si>
    <t>P020</t>
  </si>
  <si>
    <t>P021</t>
  </si>
  <si>
    <t>P022</t>
  </si>
  <si>
    <t>P023</t>
  </si>
  <si>
    <t>P024</t>
  </si>
  <si>
    <t>P025</t>
  </si>
  <si>
    <t>P026</t>
  </si>
  <si>
    <t>P027</t>
  </si>
  <si>
    <t>P028</t>
  </si>
  <si>
    <t>P029</t>
  </si>
  <si>
    <t>P030</t>
  </si>
  <si>
    <t>P031</t>
  </si>
  <si>
    <t>P032</t>
  </si>
  <si>
    <t>P033</t>
  </si>
  <si>
    <t>P034</t>
  </si>
  <si>
    <t>P035</t>
  </si>
  <si>
    <t>P036</t>
  </si>
  <si>
    <t>P037</t>
  </si>
  <si>
    <t>P038</t>
  </si>
  <si>
    <t>P039</t>
  </si>
  <si>
    <t>P040</t>
  </si>
  <si>
    <t>P041</t>
  </si>
  <si>
    <t>P042</t>
  </si>
  <si>
    <t>P043</t>
  </si>
  <si>
    <t>P044</t>
  </si>
  <si>
    <t>P045</t>
  </si>
  <si>
    <t>P046</t>
  </si>
  <si>
    <t>P047</t>
  </si>
  <si>
    <t>P048</t>
  </si>
  <si>
    <t>P049</t>
  </si>
  <si>
    <t>P050</t>
  </si>
  <si>
    <t>North</t>
  </si>
  <si>
    <t>South</t>
  </si>
  <si>
    <t>East</t>
  </si>
  <si>
    <t>West</t>
  </si>
  <si>
    <t>Central</t>
  </si>
  <si>
    <t>International</t>
  </si>
  <si>
    <t>Laptop</t>
  </si>
  <si>
    <t>Mobile Phone</t>
  </si>
  <si>
    <t>Tablet</t>
  </si>
  <si>
    <t>Smart Watch</t>
  </si>
  <si>
    <t>Headphones</t>
  </si>
  <si>
    <t>Printer</t>
  </si>
  <si>
    <t>region</t>
  </si>
  <si>
    <t>total sales</t>
  </si>
  <si>
    <t>Sum of total sales</t>
  </si>
  <si>
    <t>sale_date</t>
  </si>
  <si>
    <t>regions</t>
  </si>
  <si>
    <t>Total_sale_by_region</t>
  </si>
  <si>
    <t>product</t>
  </si>
  <si>
    <t>region-porduct</t>
  </si>
  <si>
    <t xml:space="preserve">Central        </t>
  </si>
  <si>
    <t xml:space="preserve"> CEN</t>
  </si>
  <si>
    <t xml:space="preserve">East           </t>
  </si>
  <si>
    <t xml:space="preserve"> EAS</t>
  </si>
  <si>
    <t xml:space="preserve">International  </t>
  </si>
  <si>
    <t xml:space="preserve"> INT</t>
  </si>
  <si>
    <t xml:space="preserve">North          </t>
  </si>
  <si>
    <t xml:space="preserve"> NOR</t>
  </si>
  <si>
    <t xml:space="preserve">South          </t>
  </si>
  <si>
    <t xml:space="preserve"> SOU</t>
  </si>
  <si>
    <t xml:space="preserve">West           </t>
  </si>
  <si>
    <t xml:space="preserve"> WES</t>
  </si>
  <si>
    <t>code</t>
  </si>
  <si>
    <t xml:space="preserve">Product ID </t>
  </si>
  <si>
    <t xml:space="preserve"> Subcategory</t>
  </si>
  <si>
    <t xml:space="preserve">P001 </t>
  </si>
  <si>
    <t xml:space="preserve"> Computers</t>
  </si>
  <si>
    <t xml:space="preserve">P002 </t>
  </si>
  <si>
    <t xml:space="preserve"> Mobile Devices</t>
  </si>
  <si>
    <t xml:space="preserve">P003 </t>
  </si>
  <si>
    <t xml:space="preserve">P004 </t>
  </si>
  <si>
    <t xml:space="preserve"> Wearables</t>
  </si>
  <si>
    <t xml:space="preserve">P005 </t>
  </si>
  <si>
    <t xml:space="preserve"> Audio Accessories</t>
  </si>
  <si>
    <t xml:space="preserve">P006 </t>
  </si>
  <si>
    <t xml:space="preserve"> Office Equipment</t>
  </si>
  <si>
    <t xml:space="preserve">P007 </t>
  </si>
  <si>
    <t xml:space="preserve">P008 </t>
  </si>
  <si>
    <t xml:space="preserve">P009 </t>
  </si>
  <si>
    <t xml:space="preserve">P010 </t>
  </si>
  <si>
    <t xml:space="preserve">P011 </t>
  </si>
  <si>
    <t xml:space="preserve">P012 </t>
  </si>
  <si>
    <t xml:space="preserve">P013 </t>
  </si>
  <si>
    <t xml:space="preserve">P014 </t>
  </si>
  <si>
    <t xml:space="preserve">P015 </t>
  </si>
  <si>
    <t xml:space="preserve">P016 </t>
  </si>
  <si>
    <t xml:space="preserve">P017 </t>
  </si>
  <si>
    <t xml:space="preserve">P018 </t>
  </si>
  <si>
    <t xml:space="preserve">P019 </t>
  </si>
  <si>
    <t xml:space="preserve">P020 </t>
  </si>
  <si>
    <t xml:space="preserve">P021 </t>
  </si>
  <si>
    <t xml:space="preserve">P022 </t>
  </si>
  <si>
    <t xml:space="preserve">P023 </t>
  </si>
  <si>
    <t xml:space="preserve">P024 </t>
  </si>
  <si>
    <t xml:space="preserve">P025 </t>
  </si>
  <si>
    <t xml:space="preserve">P026 </t>
  </si>
  <si>
    <t xml:space="preserve">P027 </t>
  </si>
  <si>
    <t xml:space="preserve">P028 </t>
  </si>
  <si>
    <t xml:space="preserve">P029 </t>
  </si>
  <si>
    <t xml:space="preserve">P030 </t>
  </si>
  <si>
    <t xml:space="preserve">P031 </t>
  </si>
  <si>
    <t xml:space="preserve">P032 </t>
  </si>
  <si>
    <t xml:space="preserve">P033 </t>
  </si>
  <si>
    <t xml:space="preserve">P034 </t>
  </si>
  <si>
    <t xml:space="preserve">P035 </t>
  </si>
  <si>
    <t xml:space="preserve">P036 </t>
  </si>
  <si>
    <t xml:space="preserve">P037 </t>
  </si>
  <si>
    <t xml:space="preserve">P038 </t>
  </si>
  <si>
    <t xml:space="preserve">P039 </t>
  </si>
  <si>
    <t xml:space="preserve">P040 </t>
  </si>
  <si>
    <t xml:space="preserve">P041 </t>
  </si>
  <si>
    <t xml:space="preserve">P042 </t>
  </si>
  <si>
    <t xml:space="preserve">P043 </t>
  </si>
  <si>
    <t xml:space="preserve">P044 </t>
  </si>
  <si>
    <t xml:space="preserve">P045 </t>
  </si>
  <si>
    <t xml:space="preserve">P046 </t>
  </si>
  <si>
    <t xml:space="preserve">P047 </t>
  </si>
  <si>
    <t xml:space="preserve">P048 </t>
  </si>
  <si>
    <t xml:space="preserve">P049 </t>
  </si>
  <si>
    <t xml:space="preserve">P050 </t>
  </si>
  <si>
    <t>month of sale</t>
  </si>
  <si>
    <t>Row Labels</t>
  </si>
  <si>
    <t>May</t>
  </si>
  <si>
    <t>Grand Total</t>
  </si>
  <si>
    <t>January-2023</t>
  </si>
  <si>
    <t>February-2023</t>
  </si>
  <si>
    <t>March-2023</t>
  </si>
  <si>
    <t>April-2023</t>
  </si>
  <si>
    <t>May-2023</t>
  </si>
  <si>
    <t>June-2023</t>
  </si>
  <si>
    <t>July-2023</t>
  </si>
  <si>
    <t>January-2024</t>
  </si>
  <si>
    <t>February-2024</t>
  </si>
  <si>
    <t>March-2024</t>
  </si>
  <si>
    <t>April-2024</t>
  </si>
  <si>
    <t>May-2024</t>
  </si>
  <si>
    <t>month</t>
  </si>
  <si>
    <t xml:space="preserve"> Cost Price</t>
  </si>
  <si>
    <t>progfit</t>
  </si>
  <si>
    <t>Profit %</t>
  </si>
  <si>
    <t>2023</t>
  </si>
  <si>
    <t>Qtr1</t>
  </si>
  <si>
    <t>Jan</t>
  </si>
  <si>
    <t>Feb</t>
  </si>
  <si>
    <t>Mar</t>
  </si>
  <si>
    <t>Qtr2</t>
  </si>
  <si>
    <t>Apr</t>
  </si>
  <si>
    <t>Jun</t>
  </si>
  <si>
    <t>Qtr3</t>
  </si>
  <si>
    <t>Jul</t>
  </si>
  <si>
    <t>2024</t>
  </si>
  <si>
    <t>Sum of Profit %</t>
  </si>
  <si>
    <t>value</t>
  </si>
  <si>
    <t>Marks</t>
  </si>
  <si>
    <t>Aarav</t>
  </si>
  <si>
    <t>Aditi</t>
  </si>
  <si>
    <t>Akash</t>
  </si>
  <si>
    <t>Ananya</t>
  </si>
  <si>
    <t>Arjun</t>
  </si>
  <si>
    <t>Bhavya</t>
  </si>
  <si>
    <t>Chirag</t>
  </si>
  <si>
    <t>Diya</t>
  </si>
  <si>
    <t>Dev</t>
  </si>
  <si>
    <t>Isha</t>
  </si>
  <si>
    <t>Kabir</t>
  </si>
  <si>
    <t>Kavya</t>
  </si>
  <si>
    <t>Kunal</t>
  </si>
  <si>
    <t>Meera</t>
  </si>
  <si>
    <t>Mohit</t>
  </si>
  <si>
    <t>Neha</t>
  </si>
  <si>
    <t>Nikhil</t>
  </si>
  <si>
    <t>Pooja</t>
  </si>
  <si>
    <t>Rahul</t>
  </si>
  <si>
    <t>Riya</t>
  </si>
  <si>
    <t>Rohit</t>
  </si>
  <si>
    <t>Sahil</t>
  </si>
  <si>
    <t>Sakshi</t>
  </si>
  <si>
    <t>Sameer</t>
  </si>
  <si>
    <t>Sanaya</t>
  </si>
  <si>
    <t>Shivam</t>
  </si>
  <si>
    <t>Shreya</t>
  </si>
  <si>
    <t>Siddharth</t>
  </si>
  <si>
    <t>Sneha</t>
  </si>
  <si>
    <t>Suman</t>
  </si>
  <si>
    <t>Tanvi</t>
  </si>
  <si>
    <t>Tushar</t>
  </si>
  <si>
    <t>Varun</t>
  </si>
  <si>
    <t>Ved</t>
  </si>
  <si>
    <t>Yash</t>
  </si>
  <si>
    <t>Zara</t>
  </si>
  <si>
    <t>Abhishek</t>
  </si>
  <si>
    <t>Aishwarya</t>
  </si>
  <si>
    <t>Aman</t>
  </si>
  <si>
    <t>Ankit</t>
  </si>
  <si>
    <t>Deepak</t>
  </si>
  <si>
    <t>Gaurav</t>
  </si>
  <si>
    <t>Harsh</t>
  </si>
  <si>
    <t>Ishita</t>
  </si>
  <si>
    <t>Jay</t>
  </si>
  <si>
    <t>Manish</t>
  </si>
  <si>
    <t>Naman</t>
  </si>
  <si>
    <t>Pranav</t>
  </si>
  <si>
    <t>Rakesh</t>
  </si>
  <si>
    <t>Simran</t>
  </si>
  <si>
    <t>Nmae</t>
  </si>
  <si>
    <t>Month</t>
  </si>
  <si>
    <t>Sales</t>
  </si>
  <si>
    <t>Aug</t>
  </si>
  <si>
    <t>Sep</t>
  </si>
  <si>
    <t>Oct</t>
  </si>
  <si>
    <t>Nov</t>
  </si>
  <si>
    <t>Dec</t>
  </si>
  <si>
    <t>jan</t>
  </si>
  <si>
    <t>feb</t>
  </si>
  <si>
    <t>SaleID</t>
  </si>
  <si>
    <t>Product</t>
  </si>
  <si>
    <t>jan_sales</t>
  </si>
  <si>
    <t>feb_sales</t>
  </si>
  <si>
    <t>Laptop Pro 15</t>
  </si>
  <si>
    <t>Jan_Sales</t>
  </si>
  <si>
    <t>Feb_Sales</t>
  </si>
  <si>
    <t>Wireless Mouse</t>
  </si>
  <si>
    <t>USB-C Charger 65W</t>
  </si>
  <si>
    <t>Wireless Keyboard</t>
  </si>
  <si>
    <t>Bluetooth Headphones</t>
  </si>
  <si>
    <t>Desktop PC Mini</t>
  </si>
  <si>
    <t>Smartwatch S1</t>
  </si>
  <si>
    <t>mar</t>
  </si>
  <si>
    <t>Mar_sales</t>
  </si>
  <si>
    <t>april</t>
  </si>
  <si>
    <t>april_sales</t>
  </si>
  <si>
    <t>Mar_Sales</t>
  </si>
  <si>
    <t>Apr_Sales</t>
  </si>
  <si>
    <t>Laptop Air 13</t>
  </si>
  <si>
    <t>SSD Drive 1TB</t>
  </si>
  <si>
    <t>ProductID</t>
  </si>
  <si>
    <t>product name</t>
  </si>
  <si>
    <t>categorry</t>
  </si>
  <si>
    <t>Gaming Laptop X</t>
  </si>
  <si>
    <t>Desktop</t>
  </si>
  <si>
    <t>Accessory</t>
  </si>
  <si>
    <t>Audio</t>
  </si>
  <si>
    <t>Storage</t>
  </si>
  <si>
    <t>Wearable</t>
  </si>
  <si>
    <t>Region</t>
  </si>
  <si>
    <t/>
  </si>
  <si>
    <t>Return_Amount</t>
  </si>
  <si>
    <t>returns.Return_Amount</t>
  </si>
  <si>
    <t>region_details.Region</t>
  </si>
  <si>
    <t>Not Available</t>
  </si>
  <si>
    <t>index</t>
  </si>
  <si>
    <t>Marketing</t>
  </si>
  <si>
    <t>Finance</t>
  </si>
  <si>
    <t>HR</t>
  </si>
  <si>
    <t>Operations</t>
  </si>
  <si>
    <t>IT</t>
  </si>
  <si>
    <t>department</t>
  </si>
  <si>
    <t>age</t>
  </si>
  <si>
    <t>Column1</t>
  </si>
  <si>
    <t>salary</t>
  </si>
  <si>
    <t>31-02-2023</t>
  </si>
  <si>
    <t>Male</t>
  </si>
  <si>
    <t>Female</t>
  </si>
  <si>
    <t>Column2</t>
  </si>
  <si>
    <t>SSD</t>
  </si>
  <si>
    <t>drive</t>
  </si>
  <si>
    <t>1TB</t>
  </si>
  <si>
    <t>south</t>
  </si>
  <si>
    <t>sales</t>
  </si>
  <si>
    <t>id</t>
  </si>
  <si>
    <t>name</t>
  </si>
  <si>
    <t>amount</t>
  </si>
  <si>
    <t>order</t>
  </si>
  <si>
    <t>date</t>
  </si>
  <si>
    <t>laptop</t>
  </si>
  <si>
    <t>pro</t>
  </si>
  <si>
    <t>north</t>
  </si>
  <si>
    <t>wireless</t>
  </si>
  <si>
    <t>mouse</t>
  </si>
  <si>
    <t>LAPTOP</t>
  </si>
  <si>
    <t>AIR</t>
  </si>
  <si>
    <t>east</t>
  </si>
  <si>
    <t>2023.02.18</t>
  </si>
  <si>
    <t>Gaming</t>
  </si>
  <si>
    <t>X</t>
  </si>
  <si>
    <t>west</t>
  </si>
  <si>
    <t>usb-c</t>
  </si>
  <si>
    <t>charger</t>
  </si>
  <si>
    <t>65w</t>
  </si>
  <si>
    <t>March</t>
  </si>
  <si>
    <t>5,</t>
  </si>
  <si>
    <t>keyboard</t>
  </si>
  <si>
    <t>Bluetooth</t>
  </si>
  <si>
    <t>headphones</t>
  </si>
  <si>
    <t>desktop</t>
  </si>
  <si>
    <t>pc</t>
  </si>
  <si>
    <t>mini</t>
  </si>
  <si>
    <t>SMARTWATCH</t>
  </si>
  <si>
    <t>S1</t>
  </si>
  <si>
    <t>Wireless</t>
  </si>
  <si>
    <t>Mouse</t>
  </si>
  <si>
    <t>19.02.2023</t>
  </si>
  <si>
    <t>Air</t>
  </si>
  <si>
    <t>February</t>
  </si>
  <si>
    <t>23,</t>
  </si>
  <si>
    <t>gaming</t>
  </si>
  <si>
    <t>x</t>
  </si>
  <si>
    <t>USB-C</t>
  </si>
  <si>
    <t>Charger</t>
  </si>
  <si>
    <t>65W</t>
  </si>
  <si>
    <t>ssd</t>
  </si>
  <si>
    <t>1tb</t>
  </si>
  <si>
    <t>Keyboard</t>
  </si>
  <si>
    <t>bluetooth</t>
  </si>
  <si>
    <t>PC</t>
  </si>
  <si>
    <t>Mini</t>
  </si>
  <si>
    <t>smartwatch</t>
  </si>
  <si>
    <t>s1</t>
  </si>
  <si>
    <t>October</t>
  </si>
  <si>
    <t>3,</t>
  </si>
  <si>
    <t>sales2</t>
  </si>
  <si>
    <t>15/01/2024</t>
  </si>
  <si>
    <t>30-08-23</t>
  </si>
  <si>
    <t>input value</t>
  </si>
  <si>
    <t>in value</t>
  </si>
  <si>
    <t>sum=</t>
  </si>
  <si>
    <t>P11</t>
  </si>
  <si>
    <t>refreshed connection</t>
  </si>
  <si>
    <t>well done</t>
  </si>
  <si>
    <t>ID</t>
  </si>
  <si>
    <t>Quantity</t>
  </si>
  <si>
    <t>Discount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</si>
</sst>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 &quot;₹&quot;\ * #,##0.00_ ;_ &quot;₹&quot;\ * \-#,##0.00_ ;_ &quot;₹&quot;\ * &quot;-&quot;??_ ;_ @_ "/>
    <numFmt numFmtId="164" formatCode="0.0000000000"/>
    <numFmt numFmtId="166" formatCode="&quot;₹&quot;\ #,##0.00"/>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2">
    <fill>
      <patternFill patternType="none"/>
    </fill>
    <fill>
      <patternFill patternType="gray125"/>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33">
    <xf numFmtId="0" fontId="0" fillId="0" borderId="0" xfId="0"/>
    <xf numFmtId="0" fontId="0" fillId="0" borderId="0" xfId="0" applyAlignment="1"/>
    <xf numFmtId="0" fontId="0" fillId="0" borderId="0" xfId="0" pivotButton="1"/>
    <xf numFmtId="0" fontId="0" fillId="0" borderId="0" xfId="0" applyAlignment="1">
      <alignment horizontal="left"/>
    </xf>
    <xf numFmtId="0" fontId="0" fillId="0" borderId="0" xfId="0" applyNumberFormat="1"/>
    <xf numFmtId="0" fontId="0" fillId="0" borderId="1" xfId="0" pivotButton="1" applyBorder="1"/>
    <xf numFmtId="0" fontId="0" fillId="0" borderId="1" xfId="0" applyBorder="1"/>
    <xf numFmtId="0" fontId="0" fillId="0" borderId="1" xfId="0" applyBorder="1" applyAlignment="1">
      <alignment horizontal="left"/>
    </xf>
    <xf numFmtId="0" fontId="0" fillId="0" borderId="1" xfId="0" applyNumberFormat="1" applyBorder="1"/>
    <xf numFmtId="0" fontId="0" fillId="0" borderId="1" xfId="0" applyBorder="1" applyAlignment="1">
      <alignment horizontal="left" indent="1"/>
    </xf>
    <xf numFmtId="14" fontId="0" fillId="0" borderId="0" xfId="0" applyNumberFormat="1" applyAlignment="1"/>
    <xf numFmtId="14" fontId="0" fillId="0" borderId="0" xfId="0" applyNumberFormat="1"/>
    <xf numFmtId="9" fontId="0" fillId="0" borderId="0" xfId="1" applyFont="1"/>
    <xf numFmtId="9" fontId="0" fillId="0" borderId="0" xfId="1" applyFont="1" applyAlignment="1"/>
    <xf numFmtId="0" fontId="0" fillId="0" borderId="0" xfId="0" applyAlignment="1">
      <alignment horizontal="left" indent="1"/>
    </xf>
    <xf numFmtId="14" fontId="0" fillId="0" borderId="0" xfId="0" applyNumberFormat="1" applyAlignment="1">
      <alignment horizontal="left" indent="2"/>
    </xf>
    <xf numFmtId="164" fontId="0" fillId="0" borderId="0" xfId="0" applyNumberFormat="1"/>
    <xf numFmtId="0" fontId="0" fillId="0" borderId="0" xfId="0" applyAlignment="1">
      <alignment horizontal="center"/>
    </xf>
    <xf numFmtId="14" fontId="2" fillId="0" borderId="0" xfId="0" applyNumberFormat="1" applyFont="1"/>
    <xf numFmtId="15" fontId="0" fillId="0" borderId="0" xfId="0" applyNumberFormat="1"/>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1" xfId="0" applyBorder="1" applyAlignment="1">
      <alignment horizontal="center"/>
    </xf>
    <xf numFmtId="14" fontId="0" fillId="0" borderId="1" xfId="0" applyNumberFormat="1" applyBorder="1" applyAlignment="1">
      <alignment horizontal="center"/>
    </xf>
    <xf numFmtId="0" fontId="0" fillId="0" borderId="6" xfId="0" applyBorder="1" applyAlignment="1">
      <alignment horizontal="center"/>
    </xf>
    <xf numFmtId="15" fontId="0" fillId="0" borderId="1" xfId="0" applyNumberFormat="1"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6" fontId="0" fillId="0" borderId="0" xfId="0" applyNumberFormat="1"/>
    <xf numFmtId="44" fontId="0" fillId="0" borderId="0" xfId="2" applyFont="1"/>
  </cellXfs>
  <cellStyles count="3">
    <cellStyle name="Currency" xfId="2" builtinId="4"/>
    <cellStyle name="Normal" xfId="0" builtinId="0"/>
    <cellStyle name="Percent" xfId="1" builtinId="5"/>
  </cellStyles>
  <dxfs count="52">
    <dxf>
      <numFmt numFmtId="166" formatCode="&quot;₹&quot;\ #,##0.00"/>
    </dxf>
    <dxf>
      <font>
        <color rgb="FF006100"/>
      </font>
      <fill>
        <patternFill>
          <bgColor rgb="FFC6EFCE"/>
        </patternFill>
      </fill>
    </dxf>
    <dxf>
      <alignment horizontal="center" vertical="bottom"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4" formatCode="0.0000000000"/>
    </dxf>
    <dxf>
      <font>
        <b val="0"/>
        <i val="0"/>
        <strike val="0"/>
        <condense val="0"/>
        <extend val="0"/>
        <outline val="0"/>
        <shadow val="0"/>
        <u val="none"/>
        <vertAlign val="baseline"/>
        <sz val="11"/>
        <color theme="1"/>
        <name val="Calibri"/>
        <family val="2"/>
        <scheme val="minor"/>
      </font>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9" formatCode="dd/mm/yyyy"/>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owerPivotData" Target="model/item.data"/><Relationship Id="rId21" Type="http://schemas.openxmlformats.org/officeDocument/2006/relationships/worksheet" Target="worksheets/sheet21.xml"/><Relationship Id="rId34" Type="http://schemas.microsoft.com/office/2007/relationships/slicerCache" Target="slicerCaches/slicerCache2.xml"/><Relationship Id="rId42" Type="http://schemas.openxmlformats.org/officeDocument/2006/relationships/customXml" Target="../customXml/item2.xml"/><Relationship Id="rId47" Type="http://schemas.openxmlformats.org/officeDocument/2006/relationships/customXml" Target="../customXml/item7.xml"/><Relationship Id="rId50" Type="http://schemas.openxmlformats.org/officeDocument/2006/relationships/customXml" Target="../customXml/item10.xml"/><Relationship Id="rId55"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pivotCacheDefinition" Target="pivotCache/pivotCacheDefinition4.xml"/><Relationship Id="rId37" Type="http://schemas.openxmlformats.org/officeDocument/2006/relationships/styles" Target="styles.xml"/><Relationship Id="rId40" Type="http://schemas.openxmlformats.org/officeDocument/2006/relationships/calcChain" Target="calcChain.xml"/><Relationship Id="rId45" Type="http://schemas.openxmlformats.org/officeDocument/2006/relationships/customXml" Target="../customXml/item5.xml"/><Relationship Id="rId53" Type="http://schemas.openxmlformats.org/officeDocument/2006/relationships/customXml" Target="../customXml/item13.xml"/><Relationship Id="rId58" Type="http://schemas.openxmlformats.org/officeDocument/2006/relationships/customXml" Target="../customXml/item18.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pivotCacheDefinition" Target="pivotCache/pivotCacheDefinition2.xml"/><Relationship Id="rId35" Type="http://schemas.openxmlformats.org/officeDocument/2006/relationships/theme" Target="theme/theme1.xml"/><Relationship Id="rId43" Type="http://schemas.openxmlformats.org/officeDocument/2006/relationships/customXml" Target="../customXml/item3.xml"/><Relationship Id="rId48" Type="http://schemas.openxmlformats.org/officeDocument/2006/relationships/customXml" Target="../customXml/item8.xml"/><Relationship Id="rId56" Type="http://schemas.openxmlformats.org/officeDocument/2006/relationships/customXml" Target="../customXml/item16.xml"/><Relationship Id="rId8" Type="http://schemas.openxmlformats.org/officeDocument/2006/relationships/worksheet" Target="worksheets/sheet8.xml"/><Relationship Id="rId51" Type="http://schemas.openxmlformats.org/officeDocument/2006/relationships/customXml" Target="../customXml/item1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07/relationships/slicerCache" Target="slicerCaches/slicerCache1.xml"/><Relationship Id="rId38" Type="http://schemas.openxmlformats.org/officeDocument/2006/relationships/sharedStrings" Target="sharedStrings.xml"/><Relationship Id="rId46" Type="http://schemas.openxmlformats.org/officeDocument/2006/relationships/customXml" Target="../customXml/item6.xml"/><Relationship Id="rId59" Type="http://schemas.openxmlformats.org/officeDocument/2006/relationships/customXml" Target="../customXml/item19.xml"/><Relationship Id="rId20" Type="http://schemas.openxmlformats.org/officeDocument/2006/relationships/worksheet" Target="worksheets/sheet20.xml"/><Relationship Id="rId41" Type="http://schemas.openxmlformats.org/officeDocument/2006/relationships/customXml" Target="../customXml/item1.xml"/><Relationship Id="rId54"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36" Type="http://schemas.openxmlformats.org/officeDocument/2006/relationships/connections" Target="connections.xml"/><Relationship Id="rId49" Type="http://schemas.openxmlformats.org/officeDocument/2006/relationships/customXml" Target="../customXml/item9.xml"/><Relationship Id="rId57" Type="http://schemas.openxmlformats.org/officeDocument/2006/relationships/customXml" Target="../customXml/item17.xml"/><Relationship Id="rId10" Type="http://schemas.openxmlformats.org/officeDocument/2006/relationships/worksheet" Target="worksheets/sheet10.xml"/><Relationship Id="rId31" Type="http://schemas.openxmlformats.org/officeDocument/2006/relationships/pivotCacheDefinition" Target="pivotCache/pivotCacheDefinition3.xml"/><Relationship Id="rId44" Type="http://schemas.openxmlformats.org/officeDocument/2006/relationships/customXml" Target="../customXml/item4.xml"/><Relationship Id="rId52" Type="http://schemas.openxmlformats.org/officeDocument/2006/relationships/customXml" Target="../customXml/item12.xml"/><Relationship Id="rId60" Type="http://schemas.openxmlformats.org/officeDocument/2006/relationships/customXml" Target="../customXml/item2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[Excel_practice_set.xlsx]pie chart!PivotTable13</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a:t>
            </a:r>
            <a:r>
              <a:rPr lang="en-IN" baseline="0"/>
              <a:t> SALES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'pie chart'!$B$3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F091-4CB5-BA99-CB856CCB488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F091-4CB5-BA99-CB856CCB4885}"/>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F091-4CB5-BA99-CB856CCB4885}"/>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F091-4CB5-BA99-CB856CCB4885}"/>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F091-4CB5-BA99-CB856CCB4885}"/>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F091-4CB5-BA99-CB856CCB488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'pie chart'!$A$4:$A$9</c:f>
              <c:strCache>
                <c:ptCount val="6"/>
                <c:pt idx="0">
                  <c:v>Central</c:v>
                </c:pt>
                <c:pt idx="1">
                  <c:v>East</c:v>
                </c:pt>
                <c:pt idx="2">
                  <c:v>International</c:v>
                </c:pt>
                <c:pt idx="3">
                  <c:v>North</c:v>
                </c:pt>
                <c:pt idx="4">
                  <c:v>South</c:v>
                </c:pt>
                <c:pt idx="5">
                  <c:v>West</c:v>
                </c:pt>
              </c:strCache>
            </c:strRef>
          </c:cat>
          <c:val>
            <c:numRef>
              <c:f>'pie chart'!$B$4:$B$9</c:f>
              <c:numCache>
                <c:formatCode>General</c:formatCode>
                <c:ptCount val="6"/>
                <c:pt idx="0">
                  <c:v>111060</c:v>
                </c:pt>
                <c:pt idx="1">
                  <c:v>120065</c:v>
                </c:pt>
                <c:pt idx="2">
                  <c:v>159420</c:v>
                </c:pt>
                <c:pt idx="3">
                  <c:v>151000</c:v>
                </c:pt>
                <c:pt idx="4">
                  <c:v>183615</c:v>
                </c:pt>
                <c:pt idx="5">
                  <c:v>109020</c:v>
                </c:pt>
              </c:numCache>
            </c:numRef>
          </c:val>
          <c:extLst>
            <c:ext xmlns:c16="http://schemas.microsoft.com/office/drawing/2014/chart" uri="{C3380CC4-5D6E-409C-BE32-E72D297353CC}">
              <c16:uniqueId val="{00000000-D5D3-4A29-922E-6A8FDAAC3745}"/>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[Excel_practice_set.xlsx]line chart!PivotTable2</c:name>
    <c:fmtId val="1"/>
  </c:pivotSource>
  <c:chart>
    <c:title>
      <c:layout>
        <c:manualLayout>
          <c:xMode val="edge"/>
          <c:yMode val="edge"/>
          <c:x val="0.79924704576138239"/>
          <c:y val="0.1820682210548496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dLbls>
          <c:dLblPos val="t"/>
          <c:showLegendKey val="0"/>
          <c:showVal val="1"/>
          <c:showCatName val="0"/>
          <c:showSerName val="0"/>
          <c:showPercent val="0"/>
          <c:showBubbleSize val="0"/>
        </c:dLbls>
        <c:marker val="1"/>
        <c:smooth val="0"/>
        <c:axId val="502966080"/>
        <c:axId val="770937344"/>
      </c:lineChart>
      <c:catAx>
        <c:axId val="5029660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Months of the year</a:t>
                </a:r>
              </a:p>
              <a:p>
                <a:pPr>
                  <a:defRPr/>
                </a:pPr>
                <a:endParaRPr lang="en-IN"/>
              </a:p>
            </c:rich>
          </c:tx>
          <c:layout>
            <c:manualLayout>
              <c:xMode val="edge"/>
              <c:yMode val="edge"/>
              <c:x val="0.45583369499614723"/>
              <c:y val="0.7629066792466004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0937344"/>
        <c:crosses val="autoZero"/>
        <c:auto val="1"/>
        <c:lblAlgn val="ctr"/>
        <c:lblOffset val="100"/>
        <c:noMultiLvlLbl val="0"/>
      </c:catAx>
      <c:valAx>
        <c:axId val="7709373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Total sales</a:t>
                </a:r>
              </a:p>
              <a:p>
                <a:pPr>
                  <a:defRPr/>
                </a:pP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29660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[Excel_practice_set.xlsx]bar_chart!PivotTable3</c:name>
    <c:fmtId val="2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bar"/>
        <c:grouping val="stacked"/>
        <c:varyColors val="0"/>
        <c:ser>
          <c:idx val="0"/>
          <c:order val="0"/>
          <c:tx>
            <c:strRef>
              <c:f>bar_chart!$B$3</c:f>
              <c:strCache>
                <c:ptCount val="1"/>
                <c:pt idx="0">
                  <c:v>Total</c:v>
                </c:pt>
              </c:strCache>
            </c:strRef>
          </c:tx>
          <c:spPr>
            <a:solidFill>
              <a:schemeClr val="accent1"/>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bar_chart!$A$4:$A$10</c:f>
              <c:strCache>
                <c:ptCount val="6"/>
                <c:pt idx="0">
                  <c:v>Central</c:v>
                </c:pt>
                <c:pt idx="1">
                  <c:v>East</c:v>
                </c:pt>
                <c:pt idx="2">
                  <c:v>International</c:v>
                </c:pt>
                <c:pt idx="3">
                  <c:v>North</c:v>
                </c:pt>
                <c:pt idx="4">
                  <c:v>South</c:v>
                </c:pt>
                <c:pt idx="5">
                  <c:v>West</c:v>
                </c:pt>
              </c:strCache>
            </c:strRef>
          </c:cat>
          <c:val>
            <c:numRef>
              <c:f>bar_chart!$B$4:$B$10</c:f>
              <c:numCache>
                <c:formatCode>General</c:formatCode>
                <c:ptCount val="6"/>
                <c:pt idx="0">
                  <c:v>111060</c:v>
                </c:pt>
                <c:pt idx="1">
                  <c:v>120065</c:v>
                </c:pt>
                <c:pt idx="2">
                  <c:v>159420</c:v>
                </c:pt>
                <c:pt idx="3">
                  <c:v>151000</c:v>
                </c:pt>
                <c:pt idx="4">
                  <c:v>183615</c:v>
                </c:pt>
                <c:pt idx="5">
                  <c:v>109020</c:v>
                </c:pt>
              </c:numCache>
            </c:numRef>
          </c:val>
          <c:extLst>
            <c:ext xmlns:c16="http://schemas.microsoft.com/office/drawing/2014/chart" uri="{C3380CC4-5D6E-409C-BE32-E72D297353CC}">
              <c16:uniqueId val="{00000000-86F7-4054-BD15-AFA6ABA58964}"/>
            </c:ext>
          </c:extLst>
        </c:ser>
        <c:dLbls>
          <c:showLegendKey val="0"/>
          <c:showVal val="0"/>
          <c:showCatName val="0"/>
          <c:showSerName val="0"/>
          <c:showPercent val="0"/>
          <c:showBubbleSize val="0"/>
        </c:dLbls>
        <c:gapWidth val="150"/>
        <c:overlap val="100"/>
        <c:axId val="54150895"/>
        <c:axId val="1572250031"/>
      </c:barChart>
      <c:catAx>
        <c:axId val="541508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2250031"/>
        <c:crosses val="autoZero"/>
        <c:auto val="1"/>
        <c:lblAlgn val="ctr"/>
        <c:lblOffset val="100"/>
        <c:noMultiLvlLbl val="0"/>
      </c:catAx>
      <c:valAx>
        <c:axId val="157225003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1508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[Excel_practice_set.xlsx]sales_profit_relation!PivotTable7</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s>
    <c:plotArea>
      <c:layout/>
      <c:lineChart>
        <c:grouping val="standard"/>
        <c:varyColors val="0"/>
        <c:ser>
          <c:idx val="0"/>
          <c:order val="0"/>
          <c:tx>
            <c:strRef>
              <c:f>sales_profit_relation!$B$3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elete val="1"/>
          </c:dLbls>
          <c:cat>
            <c:multiLvlStrRef>
              <c:f>sales_profit_relation!$A$4:$A$23</c:f>
              <c:multiLvlStrCache>
                <c:ptCount val="12"/>
                <c:lvl>
                  <c:pt idx="0">
                    <c:v>Jan</c:v>
                  </c:pt>
                  <c:pt idx="1">
                    <c:v>Feb</c:v>
                  </c:pt>
                  <c:pt idx="2">
                    <c:v>Mar</c:v>
                  </c:pt>
                  <c:pt idx="3">
                    <c:v>Apr</c:v>
                  </c:pt>
                  <c:pt idx="4">
                    <c:v>May</c:v>
                  </c:pt>
                  <c:pt idx="5">
                    <c:v>Jun</c:v>
                  </c:pt>
                  <c:pt idx="6">
                    <c:v>Jul</c:v>
                  </c:pt>
                  <c:pt idx="7">
                    <c:v>Jan</c:v>
                  </c:pt>
                  <c:pt idx="8">
                    <c:v>Feb</c:v>
                  </c:pt>
                  <c:pt idx="9">
                    <c:v>Mar</c:v>
                  </c:pt>
                  <c:pt idx="10">
                    <c:v>Apr</c:v>
                  </c:pt>
                  <c:pt idx="11">
                    <c:v>May</c:v>
                  </c:pt>
                </c:lvl>
                <c:lvl>
                  <c:pt idx="0">
                    <c:v>Qtr1</c:v>
                  </c:pt>
                  <c:pt idx="3">
                    <c:v>Qtr2</c:v>
                  </c:pt>
                  <c:pt idx="6">
                    <c:v>Qtr3</c:v>
                  </c:pt>
                  <c:pt idx="7">
                    <c:v>Qtr1</c:v>
                  </c:pt>
                  <c:pt idx="10">
                    <c:v>Qtr2</c:v>
                  </c:pt>
                </c:lvl>
                <c:lvl>
                  <c:pt idx="0">
                    <c:v>2023</c:v>
                  </c:pt>
                  <c:pt idx="7">
                    <c:v>2024</c:v>
                  </c:pt>
                </c:lvl>
              </c:multiLvlStrCache>
            </c:multiLvlStrRef>
          </c:cat>
          <c:val>
            <c:numRef>
              <c:f>sales_profit_relation!$B$4:$B$23</c:f>
              <c:numCache>
                <c:formatCode>0.0000000000</c:formatCode>
                <c:ptCount val="12"/>
                <c:pt idx="0">
                  <c:v>0.93663833298629728</c:v>
                </c:pt>
                <c:pt idx="1">
                  <c:v>0.95660019508835414</c:v>
                </c:pt>
                <c:pt idx="2">
                  <c:v>1.1860495480299442</c:v>
                </c:pt>
                <c:pt idx="3">
                  <c:v>0.94958750310115669</c:v>
                </c:pt>
                <c:pt idx="4">
                  <c:v>1.1775694587487398</c:v>
                </c:pt>
                <c:pt idx="5">
                  <c:v>0.94097271549628791</c:v>
                </c:pt>
                <c:pt idx="6">
                  <c:v>0.94213056546152352</c:v>
                </c:pt>
                <c:pt idx="7">
                  <c:v>0.94277672793763267</c:v>
                </c:pt>
                <c:pt idx="8">
                  <c:v>0.94515594303313855</c:v>
                </c:pt>
                <c:pt idx="9">
                  <c:v>1.1738302082435843</c:v>
                </c:pt>
                <c:pt idx="10">
                  <c:v>0.92917396487638315</c:v>
                </c:pt>
                <c:pt idx="11">
                  <c:v>0.70489419641562145</c:v>
                </c:pt>
              </c:numCache>
            </c:numRef>
          </c:val>
          <c:smooth val="0"/>
          <c:extLst>
            <c:ext xmlns:c16="http://schemas.microsoft.com/office/drawing/2014/chart" uri="{C3380CC4-5D6E-409C-BE32-E72D297353CC}">
              <c16:uniqueId val="{00000000-2CD2-4F4D-BBB6-05A5FBC55309}"/>
            </c:ext>
          </c:extLst>
        </c:ser>
        <c:dLbls>
          <c:showLegendKey val="0"/>
          <c:showVal val="1"/>
          <c:showCatName val="0"/>
          <c:showSerName val="0"/>
          <c:showPercent val="0"/>
          <c:showBubbleSize val="0"/>
        </c:dLbls>
        <c:upDownBars>
          <c:gapWidth val="219"/>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marker val="1"/>
        <c:smooth val="0"/>
        <c:axId val="746341968"/>
        <c:axId val="745849136"/>
      </c:lineChart>
      <c:catAx>
        <c:axId val="746341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849136"/>
        <c:crosses val="autoZero"/>
        <c:auto val="1"/>
        <c:lblAlgn val="ctr"/>
        <c:lblOffset val="100"/>
        <c:noMultiLvlLbl val="0"/>
      </c:catAx>
      <c:valAx>
        <c:axId val="745849136"/>
        <c:scaling>
          <c:orientation val="minMax"/>
        </c:scaling>
        <c:delete val="0"/>
        <c:axPos val="l"/>
        <c:majorGridlines>
          <c:spPr>
            <a:ln w="9525" cap="flat" cmpd="sng" algn="ctr">
              <a:solidFill>
                <a:schemeClr val="tx1">
                  <a:lumMod val="15000"/>
                  <a:lumOff val="85000"/>
                </a:schemeClr>
              </a:solidFill>
              <a:round/>
            </a:ln>
            <a:effectLst/>
          </c:spPr>
        </c:majorGridlines>
        <c:numFmt formatCode="0.0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63419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Sales</c:v>
          </c:tx>
          <c:spPr>
            <a:ln w="28575" cap="rnd">
              <a:solidFill>
                <a:schemeClr val="accent1"/>
              </a:solidFill>
              <a:round/>
            </a:ln>
            <a:effectLst/>
          </c:spPr>
          <c:marker>
            <c:symbol val="none"/>
          </c:marker>
          <c:cat>
            <c:strLit>
              <c:ptCount val="1"/>
              <c:pt idx="0">
                <c:v>Sheet12!Month</c:v>
              </c:pt>
            </c:strLit>
          </c:cat>
          <c:val>
            <c:numRef>
              <c:f>[0]!Sales</c:f>
              <c:numCache>
                <c:formatCode>General</c:formatCode>
                <c:ptCount val="16"/>
                <c:pt idx="0">
                  <c:v>120</c:v>
                </c:pt>
                <c:pt idx="1">
                  <c:v>140</c:v>
                </c:pt>
                <c:pt idx="2">
                  <c:v>135</c:v>
                </c:pt>
                <c:pt idx="3">
                  <c:v>150</c:v>
                </c:pt>
                <c:pt idx="4">
                  <c:v>160</c:v>
                </c:pt>
                <c:pt idx="5">
                  <c:v>155</c:v>
                </c:pt>
                <c:pt idx="6">
                  <c:v>170</c:v>
                </c:pt>
                <c:pt idx="7">
                  <c:v>165</c:v>
                </c:pt>
                <c:pt idx="8">
                  <c:v>180</c:v>
                </c:pt>
                <c:pt idx="9">
                  <c:v>175</c:v>
                </c:pt>
                <c:pt idx="10">
                  <c:v>190</c:v>
                </c:pt>
                <c:pt idx="11">
                  <c:v>200</c:v>
                </c:pt>
                <c:pt idx="12">
                  <c:v>500</c:v>
                </c:pt>
                <c:pt idx="13">
                  <c:v>24</c:v>
                </c:pt>
                <c:pt idx="14">
                  <c:v>200</c:v>
                </c:pt>
                <c:pt idx="15">
                  <c:v>100</c:v>
                </c:pt>
              </c:numCache>
            </c:numRef>
          </c:val>
          <c:smooth val="0"/>
          <c:extLst>
            <c:ext xmlns:c16="http://schemas.microsoft.com/office/drawing/2014/chart" uri="{C3380CC4-5D6E-409C-BE32-E72D297353CC}">
              <c16:uniqueId val="{00000000-EC05-4D29-A5B6-C3CF7FCF86E9}"/>
            </c:ext>
          </c:extLst>
        </c:ser>
        <c:dLbls>
          <c:showLegendKey val="0"/>
          <c:showVal val="0"/>
          <c:showCatName val="0"/>
          <c:showSerName val="0"/>
          <c:showPercent val="0"/>
          <c:showBubbleSize val="0"/>
        </c:dLbls>
        <c:smooth val="0"/>
        <c:axId val="69309391"/>
        <c:axId val="129901791"/>
      </c:lineChart>
      <c:catAx>
        <c:axId val="693093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901791"/>
        <c:crosses val="autoZero"/>
        <c:auto val="1"/>
        <c:lblAlgn val="ctr"/>
        <c:lblOffset val="100"/>
        <c:noMultiLvlLbl val="0"/>
      </c:catAx>
      <c:valAx>
        <c:axId val="129901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0939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Value</c:v>
          </c:tx>
          <c:spPr>
            <a:ln w="28575" cap="rnd">
              <a:solidFill>
                <a:schemeClr val="accent1"/>
              </a:solidFill>
              <a:round/>
            </a:ln>
            <a:effectLst/>
          </c:spPr>
          <c:marker>
            <c:symbol val="none"/>
          </c:marker>
          <c:cat>
            <c:strLit>
              <c:ptCount val="1"/>
              <c:pt idx="0">
                <c:v>sheet1[index]</c:v>
              </c:pt>
            </c:strLit>
          </c:cat>
          <c:val>
            <c:numRef>
              <c:f>[0]!Value</c:f>
              <c:numCache>
                <c:formatCode>General</c:formatCode>
                <c:ptCount val="6"/>
                <c:pt idx="0">
                  <c:v>10</c:v>
                </c:pt>
                <c:pt idx="1">
                  <c:v>20</c:v>
                </c:pt>
                <c:pt idx="2">
                  <c:v>30</c:v>
                </c:pt>
                <c:pt idx="3">
                  <c:v>40</c:v>
                </c:pt>
                <c:pt idx="4">
                  <c:v>60</c:v>
                </c:pt>
                <c:pt idx="5">
                  <c:v>0</c:v>
                </c:pt>
              </c:numCache>
            </c:numRef>
          </c:val>
          <c:smooth val="0"/>
          <c:extLst>
            <c:ext xmlns:c16="http://schemas.microsoft.com/office/drawing/2014/chart" uri="{C3380CC4-5D6E-409C-BE32-E72D297353CC}">
              <c16:uniqueId val="{00000002-6AEA-41A9-A7CD-C87D28A22A1C}"/>
            </c:ext>
          </c:extLst>
        </c:ser>
        <c:dLbls>
          <c:showLegendKey val="0"/>
          <c:showVal val="0"/>
          <c:showCatName val="0"/>
          <c:showSerName val="0"/>
          <c:showPercent val="0"/>
          <c:showBubbleSize val="0"/>
        </c:dLbls>
        <c:smooth val="0"/>
        <c:axId val="484236479"/>
        <c:axId val="484710991"/>
      </c:lineChart>
      <c:catAx>
        <c:axId val="48423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4710991"/>
        <c:crosses val="autoZero"/>
        <c:auto val="1"/>
        <c:lblAlgn val="ctr"/>
        <c:lblOffset val="100"/>
        <c:noMultiLvlLbl val="0"/>
      </c:catAx>
      <c:valAx>
        <c:axId val="4847109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42364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oneCell">
    <xdr:from>
      <xdr:col>7</xdr:col>
      <xdr:colOff>160316</xdr:colOff>
      <xdr:row>0</xdr:row>
      <xdr:rowOff>71252</xdr:rowOff>
    </xdr:from>
    <xdr:to>
      <xdr:col>10</xdr:col>
      <xdr:colOff>142504</xdr:colOff>
      <xdr:row>11</xdr:row>
      <xdr:rowOff>71253</xdr:rowOff>
    </xdr:to>
    <mc:AlternateContent xmlns:mc="http://schemas.openxmlformats.org/markup-compatibility/2006" xmlns:a14="http://schemas.microsoft.com/office/drawing/2010/main">
      <mc:Choice Requires="a14">
        <xdr:graphicFrame macro="">
          <xdr:nvGraphicFramePr>
            <xdr:cNvPr id="2" name="Product Name">
              <a:extLst>
                <a:ext uri="{FF2B5EF4-FFF2-40B4-BE49-F238E27FC236}">
                  <a16:creationId xmlns:a16="http://schemas.microsoft.com/office/drawing/2014/main" id="{33EAB1FB-AC16-4ED7-A8F3-B0B37CB99DE0}"/>
                </a:ext>
              </a:extLst>
            </xdr:cNvPr>
            <xdr:cNvGraphicFramePr/>
          </xdr:nvGraphicFramePr>
          <xdr:xfrm>
            <a:off x="0" y="0"/>
            <a:ext cx="0" cy="0"/>
          </xdr:xfrm>
          <a:graphic>
            <a:graphicData uri="http://schemas.microsoft.com/office/drawing/2010/slicer">
              <sle:slicer xmlns:sle="http://schemas.microsoft.com/office/drawing/2010/slicer" name="Product Name"/>
            </a:graphicData>
          </a:graphic>
        </xdr:graphicFrame>
      </mc:Choice>
      <mc:Fallback xmlns="">
        <xdr:sp macro="" textlink="">
          <xdr:nvSpPr>
            <xdr:cNvPr id="0" name=""/>
            <xdr:cNvSpPr>
              <a:spLocks noTextEdit="1"/>
            </xdr:cNvSpPr>
          </xdr:nvSpPr>
          <xdr:spPr>
            <a:xfrm>
              <a:off x="6252358" y="71252"/>
              <a:ext cx="1834738" cy="20247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522514</xdr:colOff>
      <xdr:row>0</xdr:row>
      <xdr:rowOff>1</xdr:rowOff>
    </xdr:from>
    <xdr:to>
      <xdr:col>14</xdr:col>
      <xdr:colOff>29688</xdr:colOff>
      <xdr:row>11</xdr:row>
      <xdr:rowOff>17814</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43354B76-F0D4-4FE1-8D3F-E7710371BD71}"/>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467106" y="1"/>
              <a:ext cx="1977242" cy="204255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326569</xdr:colOff>
      <xdr:row>0</xdr:row>
      <xdr:rowOff>74220</xdr:rowOff>
    </xdr:from>
    <xdr:to>
      <xdr:col>12</xdr:col>
      <xdr:colOff>279068</xdr:colOff>
      <xdr:row>19</xdr:row>
      <xdr:rowOff>160316</xdr:rowOff>
    </xdr:to>
    <xdr:graphicFrame macro="">
      <xdr:nvGraphicFramePr>
        <xdr:cNvPr id="2" name="Chart 1">
          <a:extLst>
            <a:ext uri="{FF2B5EF4-FFF2-40B4-BE49-F238E27FC236}">
              <a16:creationId xmlns:a16="http://schemas.microsoft.com/office/drawing/2014/main" id="{B6E246B8-DBBE-4C4C-A40D-6F4BEA8C4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599248</xdr:colOff>
      <xdr:row>0</xdr:row>
      <xdr:rowOff>154896</xdr:rowOff>
    </xdr:from>
    <xdr:to>
      <xdr:col>14</xdr:col>
      <xdr:colOff>106492</xdr:colOff>
      <xdr:row>14</xdr:row>
      <xdr:rowOff>17427</xdr:rowOff>
    </xdr:to>
    <xdr:graphicFrame macro="">
      <xdr:nvGraphicFramePr>
        <xdr:cNvPr id="2" name="Chart 1">
          <a:extLst>
            <a:ext uri="{FF2B5EF4-FFF2-40B4-BE49-F238E27FC236}">
              <a16:creationId xmlns:a16="http://schemas.microsoft.com/office/drawing/2014/main" id="{67EFE814-CEAC-4F3A-9EC7-EBF062CAB7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273131</xdr:colOff>
      <xdr:row>0</xdr:row>
      <xdr:rowOff>80157</xdr:rowOff>
    </xdr:from>
    <xdr:to>
      <xdr:col>12</xdr:col>
      <xdr:colOff>498762</xdr:colOff>
      <xdr:row>16</xdr:row>
      <xdr:rowOff>95001</xdr:rowOff>
    </xdr:to>
    <xdr:graphicFrame macro="">
      <xdr:nvGraphicFramePr>
        <xdr:cNvPr id="2" name="Chart 1">
          <a:extLst>
            <a:ext uri="{FF2B5EF4-FFF2-40B4-BE49-F238E27FC236}">
              <a16:creationId xmlns:a16="http://schemas.microsoft.com/office/drawing/2014/main" id="{2DF32440-5D62-40CD-979C-C83146368A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529151</xdr:colOff>
      <xdr:row>2</xdr:row>
      <xdr:rowOff>123294</xdr:rowOff>
    </xdr:from>
    <xdr:to>
      <xdr:col>14</xdr:col>
      <xdr:colOff>593766</xdr:colOff>
      <xdr:row>18</xdr:row>
      <xdr:rowOff>76840</xdr:rowOff>
    </xdr:to>
    <xdr:graphicFrame macro="">
      <xdr:nvGraphicFramePr>
        <xdr:cNvPr id="4" name="Chart 3">
          <a:extLst>
            <a:ext uri="{FF2B5EF4-FFF2-40B4-BE49-F238E27FC236}">
              <a16:creationId xmlns:a16="http://schemas.microsoft.com/office/drawing/2014/main" id="{4A2617A7-7775-43C6-8FBC-FA4314340B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103909</xdr:colOff>
      <xdr:row>1</xdr:row>
      <xdr:rowOff>8906</xdr:rowOff>
    </xdr:from>
    <xdr:to>
      <xdr:col>12</xdr:col>
      <xdr:colOff>353290</xdr:colOff>
      <xdr:row>15</xdr:row>
      <xdr:rowOff>175161</xdr:rowOff>
    </xdr:to>
    <xdr:graphicFrame macro="">
      <xdr:nvGraphicFramePr>
        <xdr:cNvPr id="3" name="Chart 2">
          <a:extLst>
            <a:ext uri="{FF2B5EF4-FFF2-40B4-BE49-F238E27FC236}">
              <a16:creationId xmlns:a16="http://schemas.microsoft.com/office/drawing/2014/main" id="{B8469CF8-0CE0-45A2-9DC3-E65A82588D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139535</xdr:colOff>
      <xdr:row>0</xdr:row>
      <xdr:rowOff>169224</xdr:rowOff>
    </xdr:from>
    <xdr:to>
      <xdr:col>12</xdr:col>
      <xdr:colOff>388916</xdr:colOff>
      <xdr:row>15</xdr:row>
      <xdr:rowOff>151411</xdr:rowOff>
    </xdr:to>
    <xdr:graphicFrame macro="">
      <xdr:nvGraphicFramePr>
        <xdr:cNvPr id="2" name="Chart 1">
          <a:extLst>
            <a:ext uri="{FF2B5EF4-FFF2-40B4-BE49-F238E27FC236}">
              <a16:creationId xmlns:a16="http://schemas.microsoft.com/office/drawing/2014/main" id="{CD75E5D6-49F5-42F2-9FC6-0C5B2BB7E2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9</xdr:col>
          <xdr:colOff>302821</xdr:colOff>
          <xdr:row>4</xdr:row>
          <xdr:rowOff>65314</xdr:rowOff>
        </xdr:from>
        <xdr:to>
          <xdr:col>10</xdr:col>
          <xdr:colOff>599704</xdr:colOff>
          <xdr:row>7</xdr:row>
          <xdr:rowOff>11875</xdr:rowOff>
        </xdr:to>
        <xdr:sp macro="" textlink="">
          <xdr:nvSpPr>
            <xdr:cNvPr id="22529" name="Button 1" hidden="1">
              <a:extLst>
                <a:ext uri="{63B3BB69-23CF-44E3-9099-C40C66FF867C}">
                  <a14:compatExt spid="_x0000_s22529"/>
                </a:ext>
                <a:ext uri="{FF2B5EF4-FFF2-40B4-BE49-F238E27FC236}">
                  <a16:creationId xmlns:a16="http://schemas.microsoft.com/office/drawing/2014/main" id="{3D309A2C-C646-42CF-9B47-B1489F54820D}"/>
                </a:ext>
              </a:extLst>
            </xdr:cNvPr>
            <xdr:cNvSpPr/>
          </xdr:nvSpPr>
          <xdr:spPr bwMode="auto">
            <a:xfrm>
              <a:off x="0" y="0"/>
              <a:ext cx="0" cy="0"/>
            </a:xfrm>
            <a:prstGeom prst="rect">
              <a:avLst/>
            </a:prstGeom>
            <a:noFill/>
            <a:ln w="9525">
              <a:miter lim="800000"/>
              <a:headEnd/>
              <a:tailEnd/>
            </a:ln>
          </xdr:spPr>
          <xdr:txBody>
            <a:bodyPr vertOverflow="clip" wrap="square" lIns="36576" tIns="36576" rIns="36576" bIns="36576" anchor="ctr" upright="1"/>
            <a:lstStyle/>
            <a:p>
              <a:pPr algn="ctr" rtl="0">
                <a:defRPr sz="1000"/>
              </a:pPr>
              <a:r>
                <a:rPr lang="en-IN" sz="1100" b="0" i="0" u="none" strike="noStrike" baseline="0">
                  <a:solidFill>
                    <a:srgbClr val="000000"/>
                  </a:solidFill>
                  <a:latin typeface="Calibri"/>
                  <a:ea typeface="Calibri"/>
                  <a:cs typeface="Calibri"/>
                </a:rPr>
                <a:t>Button 1</a:t>
              </a:r>
            </a:p>
          </xdr:txBody>
        </xdr:sp>
        <xdr:clientData fPrintsWithSheet="0"/>
      </xdr:twoCellAnchor>
    </mc:Choice>
    <mc:Fallback/>
  </mc:AlternateContent>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Sheet2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21"/>
    </sheetNames>
    <sheetDataSet>
      <sheetData sheetId="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3525" refreshedDate="46005.542137731478" createdVersion="6" refreshedVersion="6" minRefreshableVersion="3" recordCount="50" xr:uid="{7BEA2EFB-49B3-4B38-AB7A-A07EC4A82B9F}">
  <cacheSource type="worksheet">
    <worksheetSource ref="A1:D51" sheet="Products"/>
  </cacheSource>
  <cacheFields count="4">
    <cacheField name="Product ID" numFmtId="0">
      <sharedItems/>
    </cacheField>
    <cacheField name="Product Name" numFmtId="0">
      <sharedItems count="6">
        <s v="Laptop"/>
        <s v="Mobile Phone"/>
        <s v="Tablet"/>
        <s v="Smart Watch"/>
        <s v="Headphones"/>
        <s v="Printer"/>
      </sharedItems>
    </cacheField>
    <cacheField name="region" numFmtId="0">
      <sharedItems count="6">
        <s v="South"/>
        <s v="East"/>
        <s v="West"/>
        <s v="Central"/>
        <s v="International"/>
        <s v="North"/>
      </sharedItems>
    </cacheField>
    <cacheField name="total sales" numFmtId="0">
      <sharedItems containsSemiMixedTypes="0" containsString="0" containsNumber="1" containsInteger="1" minValue="9750" maxValue="23500"/>
    </cacheField>
  </cacheFields>
  <extLst>
    <ext xmlns:x14="http://schemas.microsoft.com/office/spreadsheetml/2009/9/main" uri="{725AE2AE-9491-48be-B2B4-4EB974FC3084}">
      <x14:pivotCacheDefinition pivotCacheId="98808016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3525" refreshedDate="46005.597885995368" createdVersion="6" refreshedVersion="6" minRefreshableVersion="3" recordCount="50" xr:uid="{716E48C9-ECAC-4541-BD47-FB524C3C0628}">
  <cacheSource type="worksheet">
    <worksheetSource name="Table7"/>
  </cacheSource>
  <cacheFields count="5">
    <cacheField name="region" numFmtId="0">
      <sharedItems count="6">
        <s v="South"/>
        <s v="East"/>
        <s v="West"/>
        <s v="Central"/>
        <s v="International"/>
        <s v="North"/>
      </sharedItems>
    </cacheField>
    <cacheField name="total sales" numFmtId="0">
      <sharedItems containsSemiMixedTypes="0" containsString="0" containsNumber="1" containsInteger="1" minValue="9750" maxValue="23500"/>
    </cacheField>
    <cacheField name="sale_date" numFmtId="0">
      <sharedItems/>
    </cacheField>
    <cacheField name="year_of_sale" numFmtId="14">
      <sharedItems containsSemiMixedTypes="0" containsNonDate="0" containsDate="1" containsString="0" minDate="2023-01-05T00:00:00" maxDate="2024-05-18T00:00:00"/>
    </cacheField>
    <cacheField name="Column1" numFmtId="0">
      <sharedItems containsSemiMixedTypes="0" containsString="0" containsNumber="1" containsInteger="1" minValue="2023" maxValue="2024"/>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3525" refreshedDate="46009.545703009258" createdVersion="6" refreshedVersion="6" minRefreshableVersion="3" recordCount="20" xr:uid="{69D667AC-DF70-458A-B75B-B521353A7E3B}">
  <cacheSource type="worksheet">
    <worksheetSource name="Table12"/>
  </cacheSource>
  <cacheFields count="9">
    <cacheField name="sales" numFmtId="0">
      <sharedItems containsSemiMixedTypes="0" containsString="0" containsNumber="1" containsInteger="1" minValue="1" maxValue="20"/>
    </cacheField>
    <cacheField name="id" numFmtId="0">
      <sharedItems/>
    </cacheField>
    <cacheField name="product" numFmtId="0">
      <sharedItems/>
    </cacheField>
    <cacheField name="name" numFmtId="0">
      <sharedItems containsMixedTypes="1" containsNumber="1" containsInteger="1" minValue="13" maxValue="15"/>
    </cacheField>
    <cacheField name="region" numFmtId="0">
      <sharedItems containsMixedTypes="1" containsNumber="1" containsInteger="1" minValue="800" maxValue="5000"/>
    </cacheField>
    <cacheField name="sales2" numFmtId="0">
      <sharedItems containsDate="1" containsBlank="1" containsMixedTypes="1" minDate="1900-01-08T02:27:04" maxDate="1900-01-06T07:30:04"/>
    </cacheField>
    <cacheField name="amount" numFmtId="0">
      <sharedItems containsDate="1" containsBlank="1" containsMixedTypes="1" minDate="2023-01-12T00:00:00" maxDate="2023-08-31T00:00:00"/>
    </cacheField>
    <cacheField name="order" numFmtId="0">
      <sharedItems containsBlank="1" containsMixedTypes="1" containsNumber="1" containsInteger="1" minValue="2024" maxValue="2024"/>
    </cacheField>
    <cacheField name="date" numFmtId="0">
      <sharedItems containsString="0" containsBlank="1" containsNumber="1" containsInteger="1" minValue="2023" maxValue="2024"/>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3525" refreshedDate="46009.545707291669" createdVersion="6" refreshedVersion="6" minRefreshableVersion="3" recordCount="50" xr:uid="{A1602BE4-194C-4B1D-B2CB-477A2CB5CA6F}">
  <cacheSource type="worksheet">
    <worksheetSource name="Table14"/>
  </cacheSource>
  <cacheFields count="11">
    <cacheField name="Product ID" numFmtId="0">
      <sharedItems/>
    </cacheField>
    <cacheField name="Product Name" numFmtId="0">
      <sharedItems/>
    </cacheField>
    <cacheField name="region" numFmtId="0">
      <sharedItems count="6">
        <s v="South"/>
        <s v="East"/>
        <s v="West"/>
        <s v="Central"/>
        <s v="International"/>
        <s v="North"/>
      </sharedItems>
    </cacheField>
    <cacheField name="total sales" numFmtId="0">
      <sharedItems containsSemiMixedTypes="0" containsString="0" containsNumber="1" containsInteger="1" minValue="9750" maxValue="23500"/>
    </cacheField>
    <cacheField name="sale_date" numFmtId="14">
      <sharedItems containsSemiMixedTypes="0" containsNonDate="0" containsDate="1" containsString="0" minDate="2023-01-05T00:00:00" maxDate="2024-05-18T00:00:00" count="50">
        <d v="2023-01-05T00:00:00"/>
        <d v="2023-01-12T00:00:00"/>
        <d v="2023-01-18T00:00:00"/>
        <d v="2023-01-25T00:00:00"/>
        <d v="2023-02-02T00:00:00"/>
        <d v="2023-02-08T00:00:00"/>
        <d v="2023-02-15T00:00:00"/>
        <d v="2023-02-22T00:00:00"/>
        <d v="2023-03-01T00:00:00"/>
        <d v="2023-03-07T00:00:00"/>
        <d v="2023-03-14T00:00:00"/>
        <d v="2023-03-21T00:00:00"/>
        <d v="2023-03-28T00:00:00"/>
        <d v="2023-04-04T00:00:00"/>
        <d v="2023-04-11T00:00:00"/>
        <d v="2023-04-18T00:00:00"/>
        <d v="2023-04-25T00:00:00"/>
        <d v="2023-05-02T00:00:00"/>
        <d v="2023-05-09T00:00:00"/>
        <d v="2023-05-16T00:00:00"/>
        <d v="2023-05-23T00:00:00"/>
        <d v="2023-05-30T00:00:00"/>
        <d v="2023-06-06T00:00:00"/>
        <d v="2023-06-13T00:00:00"/>
        <d v="2023-06-20T00:00:00"/>
        <d v="2023-06-27T00:00:00"/>
        <d v="2023-07-04T00:00:00"/>
        <d v="2023-07-11T00:00:00"/>
        <d v="2023-07-18T00:00:00"/>
        <d v="2023-07-25T00:00:00"/>
        <d v="2024-01-03T00:00:00"/>
        <d v="2024-01-10T00:00:00"/>
        <d v="2024-01-17T00:00:00"/>
        <d v="2024-01-24T00:00:00"/>
        <d v="2024-02-01T00:00:00"/>
        <d v="2024-02-08T00:00:00"/>
        <d v="2024-02-15T00:00:00"/>
        <d v="2024-02-22T00:00:00"/>
        <d v="2024-03-01T00:00:00"/>
        <d v="2024-03-08T00:00:00"/>
        <d v="2024-03-15T00:00:00"/>
        <d v="2024-03-22T00:00:00"/>
        <d v="2024-03-29T00:00:00"/>
        <d v="2024-04-05T00:00:00"/>
        <d v="2024-04-12T00:00:00"/>
        <d v="2024-04-19T00:00:00"/>
        <d v="2024-04-26T00:00:00"/>
        <d v="2024-05-03T00:00:00"/>
        <d v="2024-05-10T00:00:00"/>
        <d v="2024-05-17T00:00:00"/>
      </sharedItems>
      <fieldGroup par="10" base="4">
        <rangePr groupBy="months" startDate="2023-01-05T00:00:00" endDate="2024-05-18T00:00:00"/>
        <groupItems count="14">
          <s v="&lt;05-01-2023"/>
          <s v="Jan"/>
          <s v="Feb"/>
          <s v="Mar"/>
          <s v="Apr"/>
          <s v="May"/>
          <s v="Jun"/>
          <s v="Jul"/>
          <s v="Aug"/>
          <s v="Sep"/>
          <s v="Oct"/>
          <s v="Nov"/>
          <s v="Dec"/>
          <s v="&gt;18-05-2024"/>
        </groupItems>
      </fieldGroup>
    </cacheField>
    <cacheField name="month of sale" numFmtId="0">
      <sharedItems/>
    </cacheField>
    <cacheField name=" Cost Price" numFmtId="0">
      <sharedItems containsSemiMixedTypes="0" containsString="0" containsNumber="1" containsInteger="1" minValue="7400" maxValue="17800"/>
    </cacheField>
    <cacheField name="progfit" numFmtId="0">
      <sharedItems containsSemiMixedTypes="0" containsString="0" containsNumber="1" containsInteger="1" minValue="2200" maxValue="5700"/>
    </cacheField>
    <cacheField name="Profit %" numFmtId="9">
      <sharedItems containsSemiMixedTypes="0" containsString="0" containsNumber="1" minValue="0.22448979591836735" maxValue="0.24538848518725545"/>
    </cacheField>
    <cacheField name="Quarters" numFmtId="0" databaseField="0">
      <fieldGroup base="4">
        <rangePr groupBy="quarters" startDate="2023-01-05T00:00:00" endDate="2024-05-18T00:00:00"/>
        <groupItems count="6">
          <s v="&lt;05-01-2023"/>
          <s v="Qtr1"/>
          <s v="Qtr2"/>
          <s v="Qtr3"/>
          <s v="Qtr4"/>
          <s v="&gt;18-05-2024"/>
        </groupItems>
      </fieldGroup>
    </cacheField>
    <cacheField name="Years" numFmtId="0" databaseField="0">
      <fieldGroup base="4">
        <rangePr groupBy="years" startDate="2023-01-05T00:00:00" endDate="2024-05-18T00:00:00"/>
        <groupItems count="4">
          <s v="&lt;05-01-2023"/>
          <s v="2023"/>
          <s v="2024"/>
          <s v="&gt;18-05-2024"/>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s v="P001"/>
    <x v="0"/>
    <x v="0"/>
    <n v="12500"/>
  </r>
  <r>
    <s v="P002"/>
    <x v="1"/>
    <x v="1"/>
    <n v="17890"/>
  </r>
  <r>
    <s v="P003"/>
    <x v="2"/>
    <x v="2"/>
    <n v="15420"/>
  </r>
  <r>
    <s v="P004"/>
    <x v="3"/>
    <x v="3"/>
    <n v="9800"/>
  </r>
  <r>
    <s v="P005"/>
    <x v="4"/>
    <x v="4"/>
    <n v="22150"/>
  </r>
  <r>
    <s v="P006"/>
    <x v="5"/>
    <x v="5"/>
    <n v="13400"/>
  </r>
  <r>
    <s v="P007"/>
    <x v="0"/>
    <x v="0"/>
    <n v="16575"/>
  </r>
  <r>
    <s v="P008"/>
    <x v="1"/>
    <x v="1"/>
    <n v="18990"/>
  </r>
  <r>
    <s v="P009"/>
    <x v="2"/>
    <x v="2"/>
    <n v="14350"/>
  </r>
  <r>
    <s v="P010"/>
    <x v="3"/>
    <x v="3"/>
    <n v="21000"/>
  </r>
  <r>
    <s v="P011"/>
    <x v="4"/>
    <x v="4"/>
    <n v="9750"/>
  </r>
  <r>
    <s v="P012"/>
    <x v="5"/>
    <x v="5"/>
    <n v="16200"/>
  </r>
  <r>
    <s v="P013"/>
    <x v="0"/>
    <x v="0"/>
    <n v="19840"/>
  </r>
  <r>
    <s v="P014"/>
    <x v="1"/>
    <x v="1"/>
    <n v="14760"/>
  </r>
  <r>
    <s v="P015"/>
    <x v="2"/>
    <x v="2"/>
    <n v="23500"/>
  </r>
  <r>
    <s v="P016"/>
    <x v="3"/>
    <x v="3"/>
    <n v="12890"/>
  </r>
  <r>
    <s v="P017"/>
    <x v="4"/>
    <x v="4"/>
    <n v="17120"/>
  </r>
  <r>
    <s v="P018"/>
    <x v="5"/>
    <x v="5"/>
    <n v="15950"/>
  </r>
  <r>
    <s v="P019"/>
    <x v="0"/>
    <x v="0"/>
    <n v="20400"/>
  </r>
  <r>
    <s v="P020"/>
    <x v="1"/>
    <x v="1"/>
    <n v="18675"/>
  </r>
  <r>
    <s v="P021"/>
    <x v="2"/>
    <x v="2"/>
    <n v="11200"/>
  </r>
  <r>
    <s v="P022"/>
    <x v="3"/>
    <x v="3"/>
    <n v="14500"/>
  </r>
  <r>
    <s v="P023"/>
    <x v="4"/>
    <x v="4"/>
    <n v="19320"/>
  </r>
  <r>
    <s v="P024"/>
    <x v="5"/>
    <x v="5"/>
    <n v="16780"/>
  </r>
  <r>
    <s v="P025"/>
    <x v="0"/>
    <x v="0"/>
    <n v="21890"/>
  </r>
  <r>
    <s v="P026"/>
    <x v="1"/>
    <x v="1"/>
    <n v="15640"/>
  </r>
  <r>
    <s v="P027"/>
    <x v="2"/>
    <x v="2"/>
    <n v="9900"/>
  </r>
  <r>
    <s v="P028"/>
    <x v="3"/>
    <x v="3"/>
    <n v="18250"/>
  </r>
  <r>
    <s v="P029"/>
    <x v="4"/>
    <x v="4"/>
    <n v="16990"/>
  </r>
  <r>
    <s v="P030"/>
    <x v="5"/>
    <x v="5"/>
    <n v="22400"/>
  </r>
  <r>
    <s v="P031"/>
    <x v="0"/>
    <x v="0"/>
    <n v="13150"/>
  </r>
  <r>
    <s v="P032"/>
    <x v="1"/>
    <x v="1"/>
    <n v="17680"/>
  </r>
  <r>
    <s v="P033"/>
    <x v="2"/>
    <x v="2"/>
    <n v="15890"/>
  </r>
  <r>
    <s v="P034"/>
    <x v="3"/>
    <x v="3"/>
    <n v="19500"/>
  </r>
  <r>
    <s v="P035"/>
    <x v="4"/>
    <x v="4"/>
    <n v="14200"/>
  </r>
  <r>
    <s v="P036"/>
    <x v="5"/>
    <x v="5"/>
    <n v="20950"/>
  </r>
  <r>
    <s v="P037"/>
    <x v="0"/>
    <x v="0"/>
    <n v="11800"/>
  </r>
  <r>
    <s v="P038"/>
    <x v="1"/>
    <x v="1"/>
    <n v="16430"/>
  </r>
  <r>
    <s v="P039"/>
    <x v="2"/>
    <x v="2"/>
    <n v="18760"/>
  </r>
  <r>
    <s v="P040"/>
    <x v="3"/>
    <x v="3"/>
    <n v="15120"/>
  </r>
  <r>
    <s v="P041"/>
    <x v="4"/>
    <x v="4"/>
    <n v="22900"/>
  </r>
  <r>
    <s v="P042"/>
    <x v="5"/>
    <x v="5"/>
    <n v="13780"/>
  </r>
  <r>
    <s v="P043"/>
    <x v="0"/>
    <x v="0"/>
    <n v="17250"/>
  </r>
  <r>
    <s v="P044"/>
    <x v="1"/>
    <x v="5"/>
    <n v="16040"/>
  </r>
  <r>
    <s v="P045"/>
    <x v="3"/>
    <x v="4"/>
    <n v="20100"/>
  </r>
  <r>
    <s v="P046"/>
    <x v="4"/>
    <x v="0"/>
    <n v="18490"/>
  </r>
  <r>
    <s v="P047"/>
    <x v="5"/>
    <x v="0"/>
    <n v="12600"/>
  </r>
  <r>
    <s v="P048"/>
    <x v="0"/>
    <x v="4"/>
    <n v="16890"/>
  </r>
  <r>
    <s v="P049"/>
    <x v="1"/>
    <x v="0"/>
    <n v="19120"/>
  </r>
  <r>
    <s v="P050"/>
    <x v="1"/>
    <x v="5"/>
    <n v="155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x v="0"/>
    <n v="12500"/>
    <s v=" 2023-01-05"/>
    <d v="2023-01-05T00:00:00"/>
    <n v="2023"/>
  </r>
  <r>
    <x v="1"/>
    <n v="17890"/>
    <s v=" 2023-01-12"/>
    <d v="2023-01-12T00:00:00"/>
    <n v="2023"/>
  </r>
  <r>
    <x v="2"/>
    <n v="15420"/>
    <s v=" 2023-01-18"/>
    <d v="2023-01-18T00:00:00"/>
    <n v="2023"/>
  </r>
  <r>
    <x v="3"/>
    <n v="9800"/>
    <s v=" 2023-01-25"/>
    <d v="2023-01-25T00:00:00"/>
    <n v="2023"/>
  </r>
  <r>
    <x v="4"/>
    <n v="22150"/>
    <s v=" 2023-02-02"/>
    <d v="2023-02-02T00:00:00"/>
    <n v="2023"/>
  </r>
  <r>
    <x v="5"/>
    <n v="13400"/>
    <s v=" 2023-02-08"/>
    <d v="2023-02-08T00:00:00"/>
    <n v="2023"/>
  </r>
  <r>
    <x v="0"/>
    <n v="16575"/>
    <s v=" 2023-02-15"/>
    <d v="2023-02-15T00:00:00"/>
    <n v="2023"/>
  </r>
  <r>
    <x v="1"/>
    <n v="18990"/>
    <s v=" 2023-02-22"/>
    <d v="2023-02-22T00:00:00"/>
    <n v="2023"/>
  </r>
  <r>
    <x v="2"/>
    <n v="14350"/>
    <s v=" 2023-03-01"/>
    <d v="2023-03-01T00:00:00"/>
    <n v="2023"/>
  </r>
  <r>
    <x v="3"/>
    <n v="21000"/>
    <s v=" 2023-03-07"/>
    <d v="2023-03-07T00:00:00"/>
    <n v="2023"/>
  </r>
  <r>
    <x v="4"/>
    <n v="9750"/>
    <s v=" 2023-03-14"/>
    <d v="2023-03-14T00:00:00"/>
    <n v="2023"/>
  </r>
  <r>
    <x v="5"/>
    <n v="16200"/>
    <s v=" 2023-03-21"/>
    <d v="2023-03-21T00:00:00"/>
    <n v="2023"/>
  </r>
  <r>
    <x v="0"/>
    <n v="19840"/>
    <s v=" 2023-03-28"/>
    <d v="2023-03-28T00:00:00"/>
    <n v="2023"/>
  </r>
  <r>
    <x v="1"/>
    <n v="14760"/>
    <s v=" 2023-04-04"/>
    <d v="2023-04-04T00:00:00"/>
    <n v="2023"/>
  </r>
  <r>
    <x v="2"/>
    <n v="23500"/>
    <s v=" 2023-04-11"/>
    <d v="2023-04-11T00:00:00"/>
    <n v="2023"/>
  </r>
  <r>
    <x v="3"/>
    <n v="12890"/>
    <s v=" 2023-04-18"/>
    <d v="2023-04-18T00:00:00"/>
    <n v="2023"/>
  </r>
  <r>
    <x v="4"/>
    <n v="17120"/>
    <s v=" 2023-04-25"/>
    <d v="2023-04-25T00:00:00"/>
    <n v="2023"/>
  </r>
  <r>
    <x v="5"/>
    <n v="15950"/>
    <s v=" 2023-05-02"/>
    <d v="2023-05-02T00:00:00"/>
    <n v="2023"/>
  </r>
  <r>
    <x v="0"/>
    <n v="20400"/>
    <s v=" 2023-05-09"/>
    <d v="2023-05-09T00:00:00"/>
    <n v="2023"/>
  </r>
  <r>
    <x v="1"/>
    <n v="18675"/>
    <s v=" 2023-05-16"/>
    <d v="2023-05-16T00:00:00"/>
    <n v="2023"/>
  </r>
  <r>
    <x v="2"/>
    <n v="11200"/>
    <s v=" 2023-05-23"/>
    <d v="2023-05-23T00:00:00"/>
    <n v="2023"/>
  </r>
  <r>
    <x v="3"/>
    <n v="14500"/>
    <s v=" 2023-05-30"/>
    <d v="2023-05-30T00:00:00"/>
    <n v="2023"/>
  </r>
  <r>
    <x v="4"/>
    <n v="19320"/>
    <s v=" 2023-06-06"/>
    <d v="2023-06-06T00:00:00"/>
    <n v="2023"/>
  </r>
  <r>
    <x v="5"/>
    <n v="16780"/>
    <s v=" 2023-06-13"/>
    <d v="2023-06-13T00:00:00"/>
    <n v="2023"/>
  </r>
  <r>
    <x v="0"/>
    <n v="21890"/>
    <s v=" 2023-06-20"/>
    <d v="2023-06-20T00:00:00"/>
    <n v="2023"/>
  </r>
  <r>
    <x v="1"/>
    <n v="15640"/>
    <s v=" 2023-06-27"/>
    <d v="2023-06-27T00:00:00"/>
    <n v="2023"/>
  </r>
  <r>
    <x v="2"/>
    <n v="9900"/>
    <s v=" 2023-07-04"/>
    <d v="2023-07-04T00:00:00"/>
    <n v="2023"/>
  </r>
  <r>
    <x v="3"/>
    <n v="18250"/>
    <s v=" 2023-07-11"/>
    <d v="2023-07-11T00:00:00"/>
    <n v="2023"/>
  </r>
  <r>
    <x v="4"/>
    <n v="16990"/>
    <s v=" 2023-07-18"/>
    <d v="2023-07-18T00:00:00"/>
    <n v="2023"/>
  </r>
  <r>
    <x v="5"/>
    <n v="22400"/>
    <s v=" 2023-07-25"/>
    <d v="2023-07-25T00:00:00"/>
    <n v="2023"/>
  </r>
  <r>
    <x v="0"/>
    <n v="13150"/>
    <s v=" 2024-01-03"/>
    <d v="2024-01-03T00:00:00"/>
    <n v="2024"/>
  </r>
  <r>
    <x v="1"/>
    <n v="17680"/>
    <s v=" 2024-01-10"/>
    <d v="2024-01-10T00:00:00"/>
    <n v="2024"/>
  </r>
  <r>
    <x v="2"/>
    <n v="15890"/>
    <s v=" 2024-01-17"/>
    <d v="2024-01-17T00:00:00"/>
    <n v="2024"/>
  </r>
  <r>
    <x v="3"/>
    <n v="19500"/>
    <s v=" 2024-01-24"/>
    <d v="2024-01-24T00:00:00"/>
    <n v="2024"/>
  </r>
  <r>
    <x v="4"/>
    <n v="14200"/>
    <s v=" 2024-02-01"/>
    <d v="2024-02-01T00:00:00"/>
    <n v="2024"/>
  </r>
  <r>
    <x v="5"/>
    <n v="20950"/>
    <s v=" 2024-02-08"/>
    <d v="2024-02-08T00:00:00"/>
    <n v="2024"/>
  </r>
  <r>
    <x v="0"/>
    <n v="11800"/>
    <s v=" 2024-02-15"/>
    <d v="2024-02-15T00:00:00"/>
    <n v="2024"/>
  </r>
  <r>
    <x v="1"/>
    <n v="16430"/>
    <s v=" 2024-02-22"/>
    <d v="2024-02-22T00:00:00"/>
    <n v="2024"/>
  </r>
  <r>
    <x v="2"/>
    <n v="18760"/>
    <s v=" 2024-03-01"/>
    <d v="2024-03-01T00:00:00"/>
    <n v="2024"/>
  </r>
  <r>
    <x v="3"/>
    <n v="15120"/>
    <s v=" 2024-03-08"/>
    <d v="2024-03-08T00:00:00"/>
    <n v="2024"/>
  </r>
  <r>
    <x v="4"/>
    <n v="22900"/>
    <s v=" 2024-03-15"/>
    <d v="2024-03-15T00:00:00"/>
    <n v="2024"/>
  </r>
  <r>
    <x v="5"/>
    <n v="13780"/>
    <s v=" 2024-03-22"/>
    <d v="2024-03-22T00:00:00"/>
    <n v="2024"/>
  </r>
  <r>
    <x v="0"/>
    <n v="17250"/>
    <s v=" 2024-03-29"/>
    <d v="2024-03-29T00:00:00"/>
    <n v="2024"/>
  </r>
  <r>
    <x v="5"/>
    <n v="16040"/>
    <s v=" 2024-04-05"/>
    <d v="2024-04-05T00:00:00"/>
    <n v="2024"/>
  </r>
  <r>
    <x v="4"/>
    <n v="20100"/>
    <s v=" 2024-04-12"/>
    <d v="2024-04-12T00:00:00"/>
    <n v="2024"/>
  </r>
  <r>
    <x v="0"/>
    <n v="18490"/>
    <s v=" 2024-04-19"/>
    <d v="2024-04-19T00:00:00"/>
    <n v="2024"/>
  </r>
  <r>
    <x v="0"/>
    <n v="12600"/>
    <s v=" 2024-04-26"/>
    <d v="2024-04-26T00:00:00"/>
    <n v="2024"/>
  </r>
  <r>
    <x v="4"/>
    <n v="16890"/>
    <s v=" 2024-05-03"/>
    <d v="2024-05-03T00:00:00"/>
    <n v="2024"/>
  </r>
  <r>
    <x v="0"/>
    <n v="19120"/>
    <s v=" 2024-05-10"/>
    <d v="2024-05-10T00:00:00"/>
    <n v="2024"/>
  </r>
  <r>
    <x v="5"/>
    <n v="15500"/>
    <s v=" 2024-05-17"/>
    <d v="2024-05-17T00:00:00"/>
    <n v="2024"/>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n v="1"/>
    <s v="laptop"/>
    <s v="pro"/>
    <n v="15"/>
    <s v="north"/>
    <n v="12000"/>
    <d v="2023-01-12T00:00:00"/>
    <m/>
    <m/>
  </r>
  <r>
    <n v="2"/>
    <s v="wireless"/>
    <s v="mouse"/>
    <s v="south"/>
    <n v="800"/>
    <d v="2024-01-15T00:00:00"/>
    <m/>
    <m/>
    <m/>
  </r>
  <r>
    <n v="3"/>
    <s v="laptop"/>
    <s v="AIR"/>
    <n v="13"/>
    <s v="east"/>
    <n v="15000"/>
    <s v="2023.02.18"/>
    <m/>
    <m/>
  </r>
  <r>
    <n v="4"/>
    <s v="Gaming"/>
    <s v="Laptop"/>
    <s v="X"/>
    <s v="west"/>
    <n v="22000"/>
    <m/>
    <m/>
    <m/>
  </r>
  <r>
    <n v="5"/>
    <s v="usb-c"/>
    <s v="charger"/>
    <s v="65w"/>
    <s v="north"/>
    <n v="1200"/>
    <s v="March"/>
    <s v="5,"/>
    <n v="2024"/>
  </r>
  <r>
    <n v="6"/>
    <s v="SSD"/>
    <s v="drive"/>
    <s v="1TB"/>
    <s v="south"/>
    <n v="9000"/>
    <m/>
    <m/>
    <m/>
  </r>
  <r>
    <n v="7"/>
    <s v="wireless"/>
    <s v="keyboard"/>
    <s v="east"/>
    <n v="1100"/>
    <d v="2023-06-07T00:00:00"/>
    <m/>
    <m/>
    <m/>
  </r>
  <r>
    <n v="8"/>
    <s v="Bluetooth"/>
    <s v="headphones"/>
    <s v="west"/>
    <n v="2500"/>
    <s v="Jun"/>
    <n v="7"/>
    <n v="2024"/>
    <m/>
  </r>
  <r>
    <n v="9"/>
    <s v="desktop"/>
    <s v="pc"/>
    <s v="mini"/>
    <s v="north"/>
    <n v="18000"/>
    <n v="25"/>
    <s v="Jul"/>
    <n v="2023"/>
  </r>
  <r>
    <n v="10"/>
    <s v="SMARTWATCH"/>
    <s v="S1"/>
    <s v="south"/>
    <n v="5000"/>
    <d v="2024-06-19T00:00:00"/>
    <m/>
    <m/>
    <m/>
  </r>
  <r>
    <n v="11"/>
    <s v="laptop"/>
    <s v="pro"/>
    <n v="15"/>
    <s v="east"/>
    <n v="12000"/>
    <m/>
    <m/>
    <m/>
  </r>
  <r>
    <n v="12"/>
    <s v="wireless"/>
    <s v="mouse"/>
    <s v="west"/>
    <n v="800"/>
    <s v="19.02.2023"/>
    <m/>
    <m/>
    <m/>
  </r>
  <r>
    <n v="13"/>
    <s v="laptop"/>
    <s v="AIR"/>
    <n v="13"/>
    <s v="north"/>
    <n v="15000"/>
    <s v="February"/>
    <s v="23,"/>
    <n v="2024"/>
  </r>
  <r>
    <n v="14"/>
    <s v="Gaming"/>
    <s v="Laptop"/>
    <s v="X"/>
    <s v="south"/>
    <n v="22000"/>
    <m/>
    <m/>
    <m/>
  </r>
  <r>
    <n v="15"/>
    <s v="usb-c"/>
    <s v="charger"/>
    <s v="65w"/>
    <s v="east"/>
    <n v="1200"/>
    <d v="2023-08-30T00:00:00"/>
    <m/>
    <m/>
  </r>
  <r>
    <n v="16"/>
    <s v="SSD"/>
    <s v="drive"/>
    <s v="1TB"/>
    <s v="west"/>
    <n v="9000"/>
    <m/>
    <m/>
    <m/>
  </r>
  <r>
    <n v="17"/>
    <s v="wireless"/>
    <s v="keyboard"/>
    <s v="north"/>
    <n v="1100"/>
    <d v="2024-05-09T00:00:00"/>
    <m/>
    <m/>
    <m/>
  </r>
  <r>
    <n v="18"/>
    <s v="Bluetooth"/>
    <s v="headphones"/>
    <s v="south"/>
    <n v="2500"/>
    <m/>
    <m/>
    <m/>
    <m/>
  </r>
  <r>
    <n v="19"/>
    <s v="desktop"/>
    <s v="pc"/>
    <s v="mini"/>
    <s v="east"/>
    <n v="18000"/>
    <m/>
    <m/>
    <m/>
  </r>
  <r>
    <n v="20"/>
    <s v="SMARTWATCH"/>
    <s v="S1"/>
    <s v="west"/>
    <n v="5000"/>
    <s v="October"/>
    <s v="3,"/>
    <n v="2024"/>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s v="P001"/>
    <s v="Laptop"/>
    <x v="0"/>
    <n v="12500"/>
    <x v="0"/>
    <s v="January-2023"/>
    <n v="9600"/>
    <n v="2900"/>
    <n v="0.23200000000000001"/>
  </r>
  <r>
    <s v="P002"/>
    <s v="Mobile Phone"/>
    <x v="1"/>
    <n v="17890"/>
    <x v="1"/>
    <s v="January-2023"/>
    <n v="13500"/>
    <n v="4390"/>
    <n v="0.24538848518725545"/>
  </r>
  <r>
    <s v="P003"/>
    <s v="Tablet"/>
    <x v="2"/>
    <n v="15420"/>
    <x v="2"/>
    <s v="January-2023"/>
    <n v="11800"/>
    <n v="3620"/>
    <n v="0.23476005188067445"/>
  </r>
  <r>
    <s v="P004"/>
    <s v="Smart Watch"/>
    <x v="3"/>
    <n v="9800"/>
    <x v="3"/>
    <s v="January-2023"/>
    <n v="7600"/>
    <n v="2200"/>
    <n v="0.22448979591836735"/>
  </r>
  <r>
    <s v="P005"/>
    <s v="Headphones"/>
    <x v="4"/>
    <n v="22150"/>
    <x v="4"/>
    <s v="February-2023"/>
    <n v="16800"/>
    <n v="5350"/>
    <n v="0.24153498871331827"/>
  </r>
  <r>
    <s v="P006"/>
    <s v="Printer"/>
    <x v="5"/>
    <n v="13400"/>
    <x v="5"/>
    <s v="February-2023"/>
    <n v="10200"/>
    <n v="3200"/>
    <n v="0.23880597014925373"/>
  </r>
  <r>
    <s v="P007"/>
    <s v="Laptop"/>
    <x v="0"/>
    <n v="16575"/>
    <x v="6"/>
    <s v="February-2023"/>
    <n v="12600"/>
    <n v="3975"/>
    <n v="0.23981900452488689"/>
  </r>
  <r>
    <s v="P008"/>
    <s v="Mobile Phone"/>
    <x v="1"/>
    <n v="18990"/>
    <x v="7"/>
    <s v="February-2023"/>
    <n v="14500"/>
    <n v="4490"/>
    <n v="0.2364402317008952"/>
  </r>
  <r>
    <s v="P009"/>
    <s v="Tablet"/>
    <x v="2"/>
    <n v="14350"/>
    <x v="8"/>
    <s v="March-2023"/>
    <n v="11000"/>
    <n v="3350"/>
    <n v="0.23344947735191637"/>
  </r>
  <r>
    <s v="P010"/>
    <s v="Smart Watch"/>
    <x v="3"/>
    <n v="21000"/>
    <x v="9"/>
    <s v="March-2023"/>
    <n v="16000"/>
    <n v="5000"/>
    <n v="0.23809523809523808"/>
  </r>
  <r>
    <s v="P011"/>
    <s v="Headphones"/>
    <x v="4"/>
    <n v="9750"/>
    <x v="10"/>
    <s v="March-2023"/>
    <n v="7400"/>
    <n v="2350"/>
    <n v="0.24102564102564103"/>
  </r>
  <r>
    <s v="P012"/>
    <s v="Printer"/>
    <x v="5"/>
    <n v="16200"/>
    <x v="11"/>
    <s v="March-2023"/>
    <n v="12400"/>
    <n v="3800"/>
    <n v="0.23456790123456789"/>
  </r>
  <r>
    <s v="P013"/>
    <s v="Laptop"/>
    <x v="0"/>
    <n v="19840"/>
    <x v="12"/>
    <s v="March-2023"/>
    <n v="15100"/>
    <n v="4740"/>
    <n v="0.23891129032258066"/>
  </r>
  <r>
    <s v="P014"/>
    <s v="Mobile Phone"/>
    <x v="1"/>
    <n v="14760"/>
    <x v="13"/>
    <s v="April-2023"/>
    <n v="11300"/>
    <n v="3460"/>
    <n v="0.23441734417344173"/>
  </r>
  <r>
    <s v="P015"/>
    <s v="Tablet"/>
    <x v="2"/>
    <n v="23500"/>
    <x v="14"/>
    <s v="April-2023"/>
    <n v="17800"/>
    <n v="5700"/>
    <n v="0.24255319148936169"/>
  </r>
  <r>
    <s v="P016"/>
    <s v="Smart Watch"/>
    <x v="3"/>
    <n v="12890"/>
    <x v="15"/>
    <s v="April-2023"/>
    <n v="9900"/>
    <n v="2990"/>
    <n v="0.23196276183087663"/>
  </r>
  <r>
    <s v="P017"/>
    <s v="Headphones"/>
    <x v="4"/>
    <n v="17120"/>
    <x v="16"/>
    <s v="April-2023"/>
    <n v="13000"/>
    <n v="4120"/>
    <n v="0.24065420560747663"/>
  </r>
  <r>
    <s v="P018"/>
    <s v="Printer"/>
    <x v="5"/>
    <n v="15950"/>
    <x v="17"/>
    <s v="May-2023"/>
    <n v="12100"/>
    <n v="3850"/>
    <n v="0.2413793103448276"/>
  </r>
  <r>
    <s v="P019"/>
    <s v="Laptop"/>
    <x v="0"/>
    <n v="20400"/>
    <x v="18"/>
    <s v="May-2023"/>
    <n v="15600"/>
    <n v="4800"/>
    <n v="0.23529411764705882"/>
  </r>
  <r>
    <s v="P020"/>
    <s v="Mobile Phone"/>
    <x v="1"/>
    <n v="18675"/>
    <x v="19"/>
    <s v="May-2023"/>
    <n v="14300"/>
    <n v="4375"/>
    <n v="0.23427041499330656"/>
  </r>
  <r>
    <s v="P021"/>
    <s v="Tablet"/>
    <x v="2"/>
    <n v="11200"/>
    <x v="20"/>
    <s v="May-2023"/>
    <n v="8600"/>
    <n v="2600"/>
    <n v="0.23214285714285715"/>
  </r>
  <r>
    <s v="P022"/>
    <s v="Smart Watch"/>
    <x v="3"/>
    <n v="14500"/>
    <x v="21"/>
    <s v="May-2023"/>
    <n v="11100"/>
    <n v="3400"/>
    <n v="0.23448275862068965"/>
  </r>
  <r>
    <s v="P023"/>
    <s v="Headphones"/>
    <x v="4"/>
    <n v="19320"/>
    <x v="22"/>
    <s v="June-2023"/>
    <n v="14800"/>
    <n v="4520"/>
    <n v="0.23395445134575568"/>
  </r>
  <r>
    <s v="P024"/>
    <s v="Printer"/>
    <x v="5"/>
    <n v="16780"/>
    <x v="23"/>
    <s v="June-2023"/>
    <n v="12800"/>
    <n v="3980"/>
    <n v="0.23718712753277713"/>
  </r>
  <r>
    <s v="P025"/>
    <s v="Laptop"/>
    <x v="0"/>
    <n v="21890"/>
    <x v="24"/>
    <s v="June-2023"/>
    <n v="16700"/>
    <n v="5190"/>
    <n v="0.23709456372772955"/>
  </r>
  <r>
    <s v="P026"/>
    <s v="Mobile Phone"/>
    <x v="1"/>
    <n v="15640"/>
    <x v="25"/>
    <s v="June-2023"/>
    <n v="12000"/>
    <n v="3640"/>
    <n v="0.23273657289002558"/>
  </r>
  <r>
    <s v="P027"/>
    <s v="Tablet"/>
    <x v="2"/>
    <n v="9900"/>
    <x v="26"/>
    <s v="July-2023"/>
    <n v="7600"/>
    <n v="2300"/>
    <n v="0.23232323232323232"/>
  </r>
  <r>
    <s v="P028"/>
    <s v="Smart Watch"/>
    <x v="3"/>
    <n v="18250"/>
    <x v="27"/>
    <s v="July-2023"/>
    <n v="13900"/>
    <n v="4350"/>
    <n v="0.23835616438356164"/>
  </r>
  <r>
    <s v="P029"/>
    <s v="Headphones"/>
    <x v="4"/>
    <n v="16990"/>
    <x v="28"/>
    <s v="July-2023"/>
    <n v="13000"/>
    <n v="3990"/>
    <n v="0.23484402589758682"/>
  </r>
  <r>
    <s v="P030"/>
    <s v="Printer"/>
    <x v="5"/>
    <n v="22400"/>
    <x v="29"/>
    <s v="July-2023"/>
    <n v="17100"/>
    <n v="5300"/>
    <n v="0.23660714285714285"/>
  </r>
  <r>
    <s v="P031"/>
    <s v="Laptop"/>
    <x v="0"/>
    <n v="13150"/>
    <x v="30"/>
    <s v="January-2024"/>
    <n v="10100"/>
    <n v="3050"/>
    <n v="0.23193916349809887"/>
  </r>
  <r>
    <s v="P032"/>
    <s v="Mobile Phone"/>
    <x v="1"/>
    <n v="17680"/>
    <x v="31"/>
    <s v="January-2024"/>
    <n v="13500"/>
    <n v="4180"/>
    <n v="0.23642533936651583"/>
  </r>
  <r>
    <s v="P033"/>
    <s v="Tablet"/>
    <x v="2"/>
    <n v="15890"/>
    <x v="32"/>
    <s v="January-2024"/>
    <n v="12100"/>
    <n v="3790"/>
    <n v="0.23851478917558214"/>
  </r>
  <r>
    <s v="P034"/>
    <s v="Smart Watch"/>
    <x v="3"/>
    <n v="19500"/>
    <x v="33"/>
    <s v="January-2024"/>
    <n v="14900"/>
    <n v="4600"/>
    <n v="0.23589743589743589"/>
  </r>
  <r>
    <s v="P035"/>
    <s v="Headphones"/>
    <x v="4"/>
    <n v="14200"/>
    <x v="34"/>
    <s v="February-2024"/>
    <n v="10900"/>
    <n v="3300"/>
    <n v="0.23239436619718309"/>
  </r>
  <r>
    <s v="P036"/>
    <s v="Printer"/>
    <x v="5"/>
    <n v="20950"/>
    <x v="35"/>
    <s v="February-2024"/>
    <n v="16000"/>
    <n v="4950"/>
    <n v="0.23627684964200477"/>
  </r>
  <r>
    <s v="P037"/>
    <s v="Laptop"/>
    <x v="0"/>
    <n v="11800"/>
    <x v="36"/>
    <s v="February-2024"/>
    <n v="9000"/>
    <n v="2800"/>
    <n v="0.23728813559322035"/>
  </r>
  <r>
    <s v="P038"/>
    <s v="Mobile Phone"/>
    <x v="1"/>
    <n v="16430"/>
    <x v="37"/>
    <s v="February-2024"/>
    <n v="12500"/>
    <n v="3930"/>
    <n v="0.23919659160073037"/>
  </r>
  <r>
    <s v="P039"/>
    <s v="Tablet"/>
    <x v="2"/>
    <n v="18760"/>
    <x v="38"/>
    <s v="March-2024"/>
    <n v="14400"/>
    <n v="4360"/>
    <n v="0.23240938166311301"/>
  </r>
  <r>
    <s v="P040"/>
    <s v="Smart Watch"/>
    <x v="3"/>
    <n v="15120"/>
    <x v="39"/>
    <s v="March-2024"/>
    <n v="11600"/>
    <n v="3520"/>
    <n v="0.23280423280423279"/>
  </r>
  <r>
    <s v="P041"/>
    <s v="Headphones"/>
    <x v="4"/>
    <n v="22900"/>
    <x v="40"/>
    <s v="March-2024"/>
    <n v="17500"/>
    <n v="5400"/>
    <n v="0.23580786026200873"/>
  </r>
  <r>
    <s v="P042"/>
    <s v="Printer"/>
    <x v="5"/>
    <n v="13780"/>
    <x v="41"/>
    <s v="March-2024"/>
    <n v="10500"/>
    <n v="3280"/>
    <n v="0.23802612481857766"/>
  </r>
  <r>
    <s v="P043"/>
    <s v="Laptop"/>
    <x v="0"/>
    <n v="17250"/>
    <x v="42"/>
    <s v="March-2024"/>
    <n v="13200"/>
    <n v="4050"/>
    <n v="0.23478260869565218"/>
  </r>
  <r>
    <s v="P044"/>
    <s v="Mobile Phone"/>
    <x v="5"/>
    <n v="16040"/>
    <x v="43"/>
    <s v="April-2024"/>
    <n v="12300"/>
    <n v="3740"/>
    <n v="0.23316708229426433"/>
  </r>
  <r>
    <s v="P045"/>
    <s v="Smart Watch"/>
    <x v="4"/>
    <n v="20100"/>
    <x v="44"/>
    <s v="April-2024"/>
    <n v="15400"/>
    <n v="4700"/>
    <n v="0.23383084577114427"/>
  </r>
  <r>
    <s v="P046"/>
    <s v="Headphones"/>
    <x v="0"/>
    <n v="18490"/>
    <x v="45"/>
    <s v="April-2024"/>
    <n v="14200"/>
    <n v="4290"/>
    <n v="0.23201730665224446"/>
  </r>
  <r>
    <s v="P047"/>
    <s v="Printer"/>
    <x v="0"/>
    <n v="12600"/>
    <x v="46"/>
    <s v="April-2024"/>
    <n v="9700"/>
    <n v="2900"/>
    <n v="0.23015873015873015"/>
  </r>
  <r>
    <s v="P048"/>
    <s v="Laptop"/>
    <x v="4"/>
    <n v="16890"/>
    <x v="47"/>
    <s v="May-2024"/>
    <n v="12900"/>
    <n v="3990"/>
    <n v="0.23623445825932504"/>
  </r>
  <r>
    <s v="P049"/>
    <s v="Mobile Phone"/>
    <x v="0"/>
    <n v="19120"/>
    <x v="48"/>
    <s v="May-2024"/>
    <n v="14600"/>
    <n v="4520"/>
    <n v="0.23640167364016737"/>
  </r>
  <r>
    <s v="P050"/>
    <s v="Mobile Phone"/>
    <x v="5"/>
    <n v="15500"/>
    <x v="49"/>
    <s v="May-2024"/>
    <n v="11900"/>
    <n v="3600"/>
    <n v="0.2322580645161290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2C63C95-5C57-4D6B-9A06-13ACC041DADC}" name="PivotTable12"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rowHeaderCaption="region-porduct">
  <location ref="E3:F21" firstHeaderRow="1" firstDataRow="1" firstDataCol="1"/>
  <pivotFields count="4">
    <pivotField showAll="0"/>
    <pivotField axis="axisRow" showAll="0">
      <items count="7">
        <item x="4"/>
        <item x="0"/>
        <item x="1"/>
        <item x="5"/>
        <item x="3"/>
        <item x="2"/>
        <item t="default"/>
      </items>
    </pivotField>
    <pivotField axis="axisRow" showAll="0">
      <items count="7">
        <item x="3"/>
        <item x="1"/>
        <item x="4"/>
        <item x="5"/>
        <item x="0"/>
        <item x="2"/>
        <item t="default"/>
      </items>
    </pivotField>
    <pivotField dataField="1" showAll="0"/>
  </pivotFields>
  <rowFields count="2">
    <field x="2"/>
    <field x="1"/>
  </rowFields>
  <rowItems count="18">
    <i>
      <x/>
    </i>
    <i r="1">
      <x v="4"/>
    </i>
    <i>
      <x v="1"/>
    </i>
    <i r="1">
      <x v="2"/>
    </i>
    <i>
      <x v="2"/>
    </i>
    <i r="1">
      <x/>
    </i>
    <i r="1">
      <x v="1"/>
    </i>
    <i r="1">
      <x v="4"/>
    </i>
    <i>
      <x v="3"/>
    </i>
    <i r="1">
      <x v="2"/>
    </i>
    <i r="1">
      <x v="3"/>
    </i>
    <i>
      <x v="4"/>
    </i>
    <i r="1">
      <x/>
    </i>
    <i r="1">
      <x v="1"/>
    </i>
    <i r="1">
      <x v="2"/>
    </i>
    <i r="1">
      <x v="3"/>
    </i>
    <i>
      <x v="5"/>
    </i>
    <i r="1">
      <x v="5"/>
    </i>
  </rowItems>
  <colItems count="1">
    <i/>
  </colItems>
  <dataFields count="1">
    <dataField name="Sum of total sales" fld="3" baseField="0" baseItem="0"/>
  </dataFields>
  <formats count="12">
    <format dxfId="45">
      <pivotArea type="all" dataOnly="0" outline="0" fieldPosition="0"/>
    </format>
    <format dxfId="44">
      <pivotArea outline="0" collapsedLevelsAreSubtotals="1" fieldPosition="0"/>
    </format>
    <format dxfId="43">
      <pivotArea field="2" type="button" dataOnly="0" labelOnly="1" outline="0" axis="axisRow" fieldPosition="0"/>
    </format>
    <format dxfId="42">
      <pivotArea dataOnly="0" labelOnly="1" fieldPosition="0">
        <references count="1">
          <reference field="2" count="0"/>
        </references>
      </pivotArea>
    </format>
    <format dxfId="41">
      <pivotArea dataOnly="0" labelOnly="1" grandRow="1" outline="0" fieldPosition="0"/>
    </format>
    <format dxfId="40">
      <pivotArea dataOnly="0" labelOnly="1" fieldPosition="0">
        <references count="2">
          <reference field="1" count="1">
            <x v="4"/>
          </reference>
          <reference field="2" count="1" selected="0">
            <x v="0"/>
          </reference>
        </references>
      </pivotArea>
    </format>
    <format dxfId="39">
      <pivotArea dataOnly="0" labelOnly="1" fieldPosition="0">
        <references count="2">
          <reference field="1" count="1">
            <x v="2"/>
          </reference>
          <reference field="2" count="1" selected="0">
            <x v="1"/>
          </reference>
        </references>
      </pivotArea>
    </format>
    <format dxfId="38">
      <pivotArea dataOnly="0" labelOnly="1" fieldPosition="0">
        <references count="2">
          <reference field="1" count="3">
            <x v="0"/>
            <x v="1"/>
            <x v="4"/>
          </reference>
          <reference field="2" count="1" selected="0">
            <x v="2"/>
          </reference>
        </references>
      </pivotArea>
    </format>
    <format dxfId="37">
      <pivotArea dataOnly="0" labelOnly="1" fieldPosition="0">
        <references count="2">
          <reference field="1" count="2">
            <x v="2"/>
            <x v="3"/>
          </reference>
          <reference field="2" count="1" selected="0">
            <x v="3"/>
          </reference>
        </references>
      </pivotArea>
    </format>
    <format dxfId="36">
      <pivotArea dataOnly="0" labelOnly="1" fieldPosition="0">
        <references count="2">
          <reference field="1" count="4">
            <x v="0"/>
            <x v="1"/>
            <x v="2"/>
            <x v="3"/>
          </reference>
          <reference field="2" count="1" selected="0">
            <x v="4"/>
          </reference>
        </references>
      </pivotArea>
    </format>
    <format dxfId="35">
      <pivotArea dataOnly="0" labelOnly="1" fieldPosition="0">
        <references count="2">
          <reference field="1" count="1">
            <x v="5"/>
          </reference>
          <reference field="2" count="1" selected="0">
            <x v="5"/>
          </reference>
        </references>
      </pivotArea>
    </format>
    <format dxfId="34">
      <pivotArea dataOnly="0" labelOnly="1" outline="0" axis="axisValues" fieldPosition="0"/>
    </format>
  </formats>
  <pivotTableStyleInfo name="PivotStyleDark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275E37F-D1E9-4C97-8DCD-6E27D5754FD7}" name="PivotTable11"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rowHeaderCaption="product">
  <location ref="A3:B9" firstHeaderRow="1" firstDataRow="1" firstDataCol="1"/>
  <pivotFields count="4">
    <pivotField showAll="0"/>
    <pivotField axis="axisRow" showAll="0">
      <items count="7">
        <item x="4"/>
        <item x="0"/>
        <item x="1"/>
        <item x="5"/>
        <item x="3"/>
        <item x="2"/>
        <item t="default"/>
      </items>
    </pivotField>
    <pivotField showAll="0">
      <items count="7">
        <item x="3"/>
        <item x="1"/>
        <item x="4"/>
        <item x="5"/>
        <item x="0"/>
        <item x="2"/>
        <item t="default"/>
      </items>
    </pivotField>
    <pivotField dataField="1" showAll="0"/>
  </pivotFields>
  <rowFields count="1">
    <field x="1"/>
  </rowFields>
  <rowItems count="6">
    <i>
      <x/>
    </i>
    <i>
      <x v="1"/>
    </i>
    <i>
      <x v="2"/>
    </i>
    <i>
      <x v="3"/>
    </i>
    <i>
      <x v="4"/>
    </i>
    <i>
      <x v="5"/>
    </i>
  </rowItems>
  <colItems count="1">
    <i/>
  </colItems>
  <dataFields count="1">
    <dataField name="Sum of total sales" fld="3" baseField="0" baseItem="0"/>
  </dataFields>
  <formats count="6">
    <format dxfId="51">
      <pivotArea type="all" dataOnly="0" outline="0" fieldPosition="0"/>
    </format>
    <format dxfId="50">
      <pivotArea outline="0" collapsedLevelsAreSubtotals="1" fieldPosition="0"/>
    </format>
    <format dxfId="49">
      <pivotArea field="1" type="button" dataOnly="0" labelOnly="1" outline="0" axis="axisRow" fieldPosition="0"/>
    </format>
    <format dxfId="48">
      <pivotArea dataOnly="0" labelOnly="1" fieldPosition="0">
        <references count="1">
          <reference field="1" count="0"/>
        </references>
      </pivotArea>
    </format>
    <format dxfId="47">
      <pivotArea dataOnly="0" labelOnly="1" grandRow="1" outline="0" fieldPosition="0"/>
    </format>
    <format dxfId="46">
      <pivotArea dataOnly="0" labelOnly="1" outline="0" axis="axisValues" fieldPosition="0"/>
    </format>
  </formats>
  <pivotTableStyleInfo name="PivotStyleDark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C8743B2-C605-4D66-9470-953DC99B4474}" name="PivotTable13" cacheId="1"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13" rowHeaderCaption="regions">
  <location ref="A3:B9" firstHeaderRow="1" firstDataRow="1" firstDataCol="1"/>
  <pivotFields count="5">
    <pivotField axis="axisRow" showAll="0">
      <items count="7">
        <item x="3"/>
        <item x="1"/>
        <item x="4"/>
        <item x="5"/>
        <item x="0"/>
        <item x="2"/>
        <item t="default"/>
      </items>
    </pivotField>
    <pivotField dataField="1" showAll="0"/>
    <pivotField showAll="0"/>
    <pivotField numFmtId="14" showAll="0"/>
    <pivotField showAll="0"/>
  </pivotFields>
  <rowFields count="1">
    <field x="0"/>
  </rowFields>
  <rowItems count="6">
    <i>
      <x/>
    </i>
    <i>
      <x v="1"/>
    </i>
    <i>
      <x v="2"/>
    </i>
    <i>
      <x v="3"/>
    </i>
    <i>
      <x v="4"/>
    </i>
    <i>
      <x v="5"/>
    </i>
  </rowItems>
  <colItems count="1">
    <i/>
  </colItems>
  <dataFields count="1">
    <dataField name="Total_sale_by_region" fld="1" baseField="0" baseItem="0"/>
  </dataFields>
  <chartFormats count="7">
    <chartFormat chart="12" format="0" series="1">
      <pivotArea type="data" outline="0" fieldPosition="0">
        <references count="1">
          <reference field="4294967294" count="1" selected="0">
            <x v="0"/>
          </reference>
        </references>
      </pivotArea>
    </chartFormat>
    <chartFormat chart="12" format="1">
      <pivotArea type="data" outline="0" fieldPosition="0">
        <references count="2">
          <reference field="4294967294" count="1" selected="0">
            <x v="0"/>
          </reference>
          <reference field="0" count="1" selected="0">
            <x v="0"/>
          </reference>
        </references>
      </pivotArea>
    </chartFormat>
    <chartFormat chart="12" format="2">
      <pivotArea type="data" outline="0" fieldPosition="0">
        <references count="2">
          <reference field="4294967294" count="1" selected="0">
            <x v="0"/>
          </reference>
          <reference field="0" count="1" selected="0">
            <x v="1"/>
          </reference>
        </references>
      </pivotArea>
    </chartFormat>
    <chartFormat chart="12" format="3">
      <pivotArea type="data" outline="0" fieldPosition="0">
        <references count="2">
          <reference field="4294967294" count="1" selected="0">
            <x v="0"/>
          </reference>
          <reference field="0" count="1" selected="0">
            <x v="2"/>
          </reference>
        </references>
      </pivotArea>
    </chartFormat>
    <chartFormat chart="12" format="4">
      <pivotArea type="data" outline="0" fieldPosition="0">
        <references count="2">
          <reference field="4294967294" count="1" selected="0">
            <x v="0"/>
          </reference>
          <reference field="0" count="1" selected="0">
            <x v="3"/>
          </reference>
        </references>
      </pivotArea>
    </chartFormat>
    <chartFormat chart="12" format="5">
      <pivotArea type="data" outline="0" fieldPosition="0">
        <references count="2">
          <reference field="4294967294" count="1" selected="0">
            <x v="0"/>
          </reference>
          <reference field="0" count="1" selected="0">
            <x v="4"/>
          </reference>
        </references>
      </pivotArea>
    </chartFormat>
    <chartFormat chart="12" format="6">
      <pivotArea type="data" outline="0" fieldPosition="0">
        <references count="2">
          <reference field="4294967294" count="1" selected="0">
            <x v="0"/>
          </reference>
          <reference field="0" count="1" selected="0">
            <x v="5"/>
          </reference>
        </references>
      </pivotArea>
    </chartFormat>
  </chartFormats>
  <pivotTableStyleInfo name="PivotStyleDark1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F0FAB85-489A-4AE0-9821-6BADAF4949C4}" name="PivotTable2" cacheId="15"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2" rowHeaderCaption="month">
  <location ref="A3:C20" firstHeaderRow="1" firstDataRow="1" firstDataCol="0"/>
  <pivotFields count="9">
    <pivotField showAll="0"/>
    <pivotField showAll="0"/>
    <pivotField showAll="0"/>
    <pivotField showAll="0"/>
    <pivotField showAll="0"/>
    <pivotField showAll="0"/>
    <pivotField showAll="0"/>
    <pivotField showAll="0"/>
    <pivotField showAll="0"/>
  </pivotFields>
  <formats count="3">
    <format dxfId="33">
      <pivotArea type="all" dataOnly="0" outline="0" fieldPosition="0"/>
    </format>
    <format dxfId="32">
      <pivotArea outline="0" collapsedLevelsAreSubtotals="1" fieldPosition="0"/>
    </format>
    <format dxfId="31">
      <pivotArea dataOnly="0" labelOnly="1" outline="0" axis="axisValues" fieldPosition="0"/>
    </format>
  </formats>
  <pivotTableStyleInfo name="PivotStyleDark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CE83D3-B057-4BAC-B657-766A87807F42}" name="PivotTable3" cacheId="19"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5">
  <location ref="A3:B10" firstHeaderRow="1" firstDataRow="1" firstDataCol="1"/>
  <pivotFields count="11">
    <pivotField showAll="0"/>
    <pivotField showAll="0"/>
    <pivotField axis="axisRow" showAll="0">
      <items count="7">
        <item x="3"/>
        <item x="1"/>
        <item x="4"/>
        <item x="5"/>
        <item x="0"/>
        <item x="2"/>
        <item t="default"/>
      </items>
    </pivotField>
    <pivotField dataField="1" showAll="0"/>
    <pivotField numFmtId="14" showAll="0"/>
    <pivotField showAll="0"/>
    <pivotField showAll="0"/>
    <pivotField showAll="0"/>
    <pivotField numFmtId="9" showAll="0"/>
    <pivotField showAll="0" defaultSubtotal="0"/>
    <pivotField showAll="0" defaultSubtotal="0"/>
  </pivotFields>
  <rowFields count="1">
    <field x="2"/>
  </rowFields>
  <rowItems count="7">
    <i>
      <x/>
    </i>
    <i>
      <x v="1"/>
    </i>
    <i>
      <x v="2"/>
    </i>
    <i>
      <x v="3"/>
    </i>
    <i>
      <x v="4"/>
    </i>
    <i>
      <x v="5"/>
    </i>
    <i t="grand">
      <x/>
    </i>
  </rowItems>
  <colItems count="1">
    <i/>
  </colItems>
  <dataFields count="1">
    <dataField name="Sum of total sales" fld="3" baseField="0" baseItem="0"/>
  </dataFields>
  <chartFormats count="1">
    <chartFormat chart="24" format="0" series="1">
      <pivotArea type="data" outline="0" fieldPosition="0">
        <references count="1">
          <reference field="4294967294" count="1" selected="0">
            <x v="0"/>
          </reference>
        </references>
      </pivotArea>
    </chartFormat>
  </chartFormats>
  <pivotTableStyleInfo name="PivotStyleDark1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2348CF-CB03-4E3E-8321-2386C047B36F}" name="PivotTable7" cacheId="19"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3:B23" firstHeaderRow="1" firstDataRow="1" firstDataCol="1"/>
  <pivotFields count="11">
    <pivotField showAll="0"/>
    <pivotField showAll="0"/>
    <pivotField showAll="0"/>
    <pivotField showAll="0"/>
    <pivotField axis="axisRow" numFmtId="14" showAll="0">
      <items count="15">
        <item x="0"/>
        <item x="1"/>
        <item x="2"/>
        <item x="3"/>
        <item x="4"/>
        <item x="5"/>
        <item x="6"/>
        <item x="7"/>
        <item x="8"/>
        <item x="9"/>
        <item x="10"/>
        <item x="11"/>
        <item x="12"/>
        <item x="13"/>
        <item t="default"/>
      </items>
    </pivotField>
    <pivotField showAll="0"/>
    <pivotField showAll="0"/>
    <pivotField showAll="0"/>
    <pivotField dataField="1" numFmtId="9" showAll="0"/>
    <pivotField axis="axisRow" showAll="0">
      <items count="7">
        <item sd="0" x="0"/>
        <item x="1"/>
        <item x="2"/>
        <item x="3"/>
        <item sd="0" x="4"/>
        <item sd="0" x="5"/>
        <item t="default"/>
      </items>
    </pivotField>
    <pivotField axis="axisRow" showAll="0">
      <items count="5">
        <item sd="0" x="0"/>
        <item x="1"/>
        <item x="2"/>
        <item sd="0" x="3"/>
        <item t="default"/>
      </items>
    </pivotField>
  </pivotFields>
  <rowFields count="3">
    <field x="10"/>
    <field x="9"/>
    <field x="4"/>
  </rowFields>
  <rowItems count="20">
    <i>
      <x v="1"/>
    </i>
    <i r="1">
      <x v="1"/>
    </i>
    <i r="2">
      <x v="1"/>
    </i>
    <i r="2">
      <x v="2"/>
    </i>
    <i r="2">
      <x v="3"/>
    </i>
    <i r="1">
      <x v="2"/>
    </i>
    <i r="2">
      <x v="4"/>
    </i>
    <i r="2">
      <x v="5"/>
    </i>
    <i r="2">
      <x v="6"/>
    </i>
    <i r="1">
      <x v="3"/>
    </i>
    <i r="2">
      <x v="7"/>
    </i>
    <i>
      <x v="2"/>
    </i>
    <i r="1">
      <x v="1"/>
    </i>
    <i r="2">
      <x v="1"/>
    </i>
    <i r="2">
      <x v="2"/>
    </i>
    <i r="2">
      <x v="3"/>
    </i>
    <i r="1">
      <x v="2"/>
    </i>
    <i r="2">
      <x v="4"/>
    </i>
    <i r="2">
      <x v="5"/>
    </i>
    <i t="grand">
      <x/>
    </i>
  </rowItems>
  <colItems count="1">
    <i/>
  </colItems>
  <dataFields count="1">
    <dataField name="Sum of Profit %" fld="8" baseField="0" baseItem="0" numFmtId="164"/>
  </dataFields>
  <formats count="1">
    <format dxfId="19">
      <pivotArea outline="0" collapsedLevelsAreSubtotals="1" fieldPosition="0"/>
    </format>
  </formats>
  <chartFormats count="1">
    <chartFormat chart="4" format="0" series="1">
      <pivotArea type="data" outline="0" fieldPosition="0">
        <references count="1">
          <reference field="4294967294" count="1" selected="0">
            <x v="0"/>
          </reference>
        </references>
      </pivotArea>
    </chartFormat>
  </chartFormats>
  <pivotTableStyleInfo name="PivotStyleDark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6" connectionId="8" xr16:uid="{2186E824-3A6A-495E-A34F-01308FC5475B}" autoFormatId="16" applyNumberFormats="0" applyBorderFormats="0" applyFontFormats="0" applyPatternFormats="0" applyAlignmentFormats="0" applyWidthHeightFormats="0">
  <queryTableRefresh nextId="13">
    <queryTableFields count="12">
      <queryTableField id="1" name="SaleID" tableColumnId="1"/>
      <queryTableField id="2" name="Product" tableColumnId="2"/>
      <queryTableField id="3" name="Jan" tableColumnId="3"/>
      <queryTableField id="4" name="jan_sales" tableColumnId="4"/>
      <queryTableField id="5" name="feb" tableColumnId="5"/>
      <queryTableField id="6" name="feb_sales" tableColumnId="6"/>
      <queryTableField id="7" name="mar" tableColumnId="7"/>
      <queryTableField id="8" name="Mar_sales" tableColumnId="8"/>
      <queryTableField id="9" name="april" tableColumnId="9"/>
      <queryTableField id="10" name="april_sales" tableColumnId="10"/>
      <queryTableField id="11" name="returns.Return_Amount" tableColumnId="11"/>
      <queryTableField id="12" name="region_details.Region"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5" connectionId="5" xr16:uid="{AAA6EF15-0F08-4E70-878F-069BDC4CB258}" autoFormatId="16" applyNumberFormats="0" applyBorderFormats="0" applyFontFormats="0" applyPatternFormats="0" applyAlignmentFormats="0" applyWidthHeightFormats="0">
  <queryTableRefresh nextId="3">
    <queryTableFields count="2">
      <queryTableField id="1" name="SaleID" tableColumnId="1"/>
      <queryTableField id="2" name="Return_Amount"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4" connectionId="4" xr16:uid="{D4160948-A472-4881-AF7D-42469B0C3745}" autoFormatId="16" applyNumberFormats="0" applyBorderFormats="0" applyFontFormats="0" applyPatternFormats="0" applyAlignmentFormats="0" applyWidthHeightFormats="0">
  <queryTableRefresh nextId="3">
    <queryTableFields count="2">
      <queryTableField id="1" name="SaleID" tableColumnId="1"/>
      <queryTableField id="2" name="Region"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3" connectionId="2" xr16:uid="{E39D7F0A-F06F-4307-A2B5-F84832FA098C}" autoFormatId="16" applyNumberFormats="0" applyBorderFormats="0" applyFontFormats="0" applyPatternFormats="0" applyAlignmentFormats="0" applyWidthHeightFormats="0">
  <queryTableRefresh nextId="4">
    <queryTableFields count="3">
      <queryTableField id="1" name="ProductID" tableColumnId="1"/>
      <queryTableField id="2" name="product name" tableColumnId="2"/>
      <queryTableField id="3" name="categorry" tableColumnId="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2" connectionId="7" xr16:uid="{7C74F8F4-D7A7-433D-862B-24C1C99FD0AD}" autoFormatId="16" applyNumberFormats="0" applyBorderFormats="0" applyFontFormats="0" applyPatternFormats="0" applyAlignmentFormats="0" applyWidthHeightFormats="0">
  <queryTableRefresh nextId="7">
    <queryTableFields count="6">
      <queryTableField id="1" name="SaleID" tableColumnId="1"/>
      <queryTableField id="2" name="Product" tableColumnId="2"/>
      <queryTableField id="3" name="mar" tableColumnId="3"/>
      <queryTableField id="4" name="Mar_sales" tableColumnId="4"/>
      <queryTableField id="5" name="april" tableColumnId="5"/>
      <queryTableField id="6" name="april_sales" tableColumnId="6"/>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6" xr16:uid="{8C204B81-8231-4C5B-ACFF-8CE3A20579E7}" autoFormatId="16" applyNumberFormats="0" applyBorderFormats="0" applyFontFormats="0" applyPatternFormats="0" applyAlignmentFormats="0" applyWidthHeightFormats="0">
  <queryTableRefresh nextId="7">
    <queryTableFields count="6">
      <queryTableField id="1" name="SaleID" tableColumnId="1"/>
      <queryTableField id="2" name="Product" tableColumnId="2"/>
      <queryTableField id="3" name="Jan" tableColumnId="3"/>
      <queryTableField id="4" name="jan_sales" tableColumnId="4"/>
      <queryTableField id="5" name="feb" tableColumnId="5"/>
      <queryTableField id="6" name="feb_sales" tableColumnId="6"/>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3" xr16:uid="{3B03648F-107C-4E69-8F1E-1FE2195DEECC}" autoFormatId="16" applyNumberFormats="0" applyBorderFormats="0" applyFontFormats="0" applyPatternFormats="0" applyAlignmentFormats="0" applyWidthHeightFormats="0">
  <queryTableRefresh nextId="4">
    <queryTableFields count="3">
      <queryTableField id="1" name="ProductID" tableColumnId="1"/>
      <queryTableField id="2" name="product name" tableColumnId="2"/>
      <queryTableField id="3" name="categorry" tableColumnId="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1" xr16:uid="{55845C24-D993-4C03-B128-A29F4212B5A6}" autoFormatId="16" applyNumberFormats="0" applyBorderFormats="0" applyFontFormats="0" applyPatternFormats="0" applyAlignmentFormats="0" applyWidthHeightFormats="0">
  <queryTableRefresh nextId="5">
    <queryTableFields count="4">
      <queryTableField id="1" name="ID" tableColumnId="1"/>
      <queryTableField id="2" name="Sales" tableColumnId="2"/>
      <queryTableField id="3" name="Quantity" tableColumnId="3"/>
      <queryTableField id="4" name="Discount" tableColumnId="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B54617E6-E876-466C-B99E-C0B20FE6CBF1}" sourceName="Product Name">
  <pivotTables>
    <pivotTable tabId="17" name="PivotTable11"/>
    <pivotTable tabId="17" name="PivotTable12"/>
  </pivotTables>
  <data>
    <tabular pivotCacheId="988080162">
      <items count="6">
        <i x="4" s="1"/>
        <i x="0" s="1"/>
        <i x="1" s="1"/>
        <i x="5"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FB96A472-8258-49D7-A69D-89CB1DA24D34}" sourceName="region">
  <pivotTables>
    <pivotTable tabId="17" name="PivotTable12"/>
    <pivotTable tabId="17" name="PivotTable11"/>
  </pivotTables>
  <data>
    <tabular pivotCacheId="988080162">
      <items count="6">
        <i x="3" s="1"/>
        <i x="1" s="1"/>
        <i x="4" s="1"/>
        <i x="5"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Name" xr10:uid="{94861FA2-0E11-467A-B579-990E3FBCFAFE}" cache="Slicer_Product_Name" caption="Product Name" style="SlicerStyleDark6" rowHeight="246660"/>
  <slicer name="region" xr10:uid="{0CA3599A-EA5D-45DD-9057-00696DC33386}" cache="Slicer_region" caption="region" style="SlicerStyleDark2" rowHeight="246660"/>
</slicers>
</file>

<file path=xl/tables/_rels/table5.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9B1B034-AE0D-4B0D-A6E0-B071C71C0136}" name="Table14" displayName="Table14" ref="A1:I51" totalsRowShown="0" headerRowDxfId="30" dataDxfId="29">
  <autoFilter ref="A1:I51" xr:uid="{B22278AB-3A0B-4EDF-8558-EA94C02DD9B7}"/>
  <tableColumns count="9">
    <tableColumn id="1" xr3:uid="{18C074CB-CB2A-4F4E-A90D-3D1B54B8CB67}" name="Product ID" dataDxfId="28"/>
    <tableColumn id="2" xr3:uid="{CD8830CA-3D06-4D55-A4D5-36A78E8DC294}" name="Product Name" dataDxfId="27"/>
    <tableColumn id="3" xr3:uid="{629CC958-C253-4722-8BDE-1B71EB8A0C77}" name="region" dataDxfId="26"/>
    <tableColumn id="4" xr3:uid="{5F820ED2-9891-422F-BE1D-FAB471E1F565}" name="total sales" dataDxfId="25"/>
    <tableColumn id="5" xr3:uid="{7BA2FDCB-106E-4A83-ACBC-3D154DABB214}" name="sale_date" dataDxfId="24"/>
    <tableColumn id="6" xr3:uid="{59E97090-4570-49C6-B7CF-C045EF1BBE6E}" name="month of sale" dataDxfId="23"/>
    <tableColumn id="7" xr3:uid="{D803A722-CEF3-4463-930B-C344A466A62A}" name=" Cost Price" dataDxfId="22"/>
    <tableColumn id="8" xr3:uid="{CA08FEAE-474E-402E-AD9B-88F2DF51691D}" name="progfit" dataDxfId="21"/>
    <tableColumn id="9" xr3:uid="{54D27DEC-FAEE-4C73-B868-10D3209E69E4}" name="Profit %" dataDxfId="20" dataCellStyle="Perce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8B579EA-85C3-4865-A487-41D49B12992E}" name="Table1" displayName="Table1" ref="A1:B7" totalsRowShown="0">
  <autoFilter ref="A1:B7" xr:uid="{CE23BFEC-4D1B-4190-985D-F28910C8A999}"/>
  <tableColumns count="2">
    <tableColumn id="1" xr3:uid="{3801C07A-E334-48C8-BFBA-AE7D6B560803}" name="region"/>
    <tableColumn id="2" xr3:uid="{92BD3394-5227-45D1-950F-B3DDD8615C7A}" name="cod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6718F5-7402-4987-AC40-5717399521B1}" name="Table6" displayName="Table6" ref="A1:B51" totalsRowShown="0">
  <autoFilter ref="A1:B51" xr:uid="{CADADAC5-55CB-413A-AF6A-7B4E70FC1610}"/>
  <tableColumns count="2">
    <tableColumn id="1" xr3:uid="{38A9592A-06EA-466F-B3AB-DA978CD068FB}" name="Product ID "/>
    <tableColumn id="3" xr3:uid="{45F2C75F-B074-4C63-B614-BCC5C0BA6EE9}" name=" Subcategor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227FADE-4254-4076-A87E-5AD34973D5AC}" name="Table2" displayName="Table2" ref="A1:B51" totalsRowShown="0" dataDxfId="18">
  <autoFilter ref="A1:B51" xr:uid="{95F4B29C-98E8-4843-95FE-E4E95E39E08B}"/>
  <tableColumns count="2">
    <tableColumn id="1" xr3:uid="{869B1A30-DFF9-4A68-910D-0F4625772A34}" name="Nmae" dataDxfId="17"/>
    <tableColumn id="2" xr3:uid="{A2CEC754-336F-4E1D-9CD5-278CF498CC3A}" name="Marks" dataDxfId="1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9624876-8E1D-439F-9FB0-251B74E032F4}" name="sales_per_month" displayName="sales_per_month" ref="A1:L45" tableType="queryTable" totalsRowShown="0">
  <autoFilter ref="A1:L45" xr:uid="{F65E7DC8-476C-4851-BE03-98975C872C05}"/>
  <tableColumns count="12">
    <tableColumn id="1" xr3:uid="{62303F6C-2236-4EFC-94F8-F9F88D33CB61}" uniqueName="1" name="SaleID" queryTableFieldId="1"/>
    <tableColumn id="2" xr3:uid="{FC3495BC-69C4-4D14-BD94-57CD940D1259}" uniqueName="2" name="Product" queryTableFieldId="2"/>
    <tableColumn id="3" xr3:uid="{B195B3A2-E7F5-4EE9-AF28-15B672F7FAAE}" uniqueName="3" name="Jan" queryTableFieldId="3"/>
    <tableColumn id="4" xr3:uid="{72DFA5B5-192B-4F22-B16E-7F00D9CE6A87}" uniqueName="4" name="jan_sales" queryTableFieldId="4"/>
    <tableColumn id="5" xr3:uid="{50FF3657-ED48-42D1-A0DB-24029D7CCD6B}" uniqueName="5" name="feb" queryTableFieldId="5"/>
    <tableColumn id="6" xr3:uid="{74CBD898-105C-47CF-A509-95F6AE157D42}" uniqueName="6" name="feb_sales" queryTableFieldId="6"/>
    <tableColumn id="7" xr3:uid="{52829180-9677-484F-9CDC-83399AFEAA2E}" uniqueName="7" name="mar" queryTableFieldId="7"/>
    <tableColumn id="8" xr3:uid="{F51B0FCD-C773-4E3E-8913-AD319289A1E5}" uniqueName="8" name="Mar_sales" queryTableFieldId="8"/>
    <tableColumn id="9" xr3:uid="{11BD425E-C765-4BE5-B400-539CD05AC784}" uniqueName="9" name="april" queryTableFieldId="9"/>
    <tableColumn id="10" xr3:uid="{68DFFCA3-F96F-4C9B-9777-D82A469DD6C6}" uniqueName="10" name="april_sales" queryTableFieldId="10"/>
    <tableColumn id="11" xr3:uid="{2CECC7D0-21CB-4C9E-B477-E9BA57BD8BD6}" uniqueName="11" name="returns.Return_Amount" queryTableFieldId="11"/>
    <tableColumn id="12" xr3:uid="{BFDD2487-732D-46C1-B6D9-320A81A3306E}" uniqueName="12" name="region_details.Region" queryTableFieldId="1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CDC2059-8133-4778-BD37-BA26E1CA8DAF}" name="returns" displayName="returns" ref="A1:B8" tableType="queryTable" totalsRowShown="0">
  <autoFilter ref="A1:B8" xr:uid="{1D703FED-C8C3-42F9-8BE7-0AB599D44208}"/>
  <tableColumns count="2">
    <tableColumn id="1" xr3:uid="{25EC90DD-41B7-46D4-BF37-FC6CE2C3A2A9}" uniqueName="1" name="SaleID" queryTableFieldId="1"/>
    <tableColumn id="2" xr3:uid="{A15AFA4F-EB3A-43BD-AD21-470B218696F5}" uniqueName="2" name="Return_Amount" queryTableFieldId="2"/>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9751E37-6AFF-49AD-9C52-5DEEFBA11A82}" name="region_details" displayName="region_details" ref="A1:B11" tableType="queryTable" totalsRowShown="0">
  <autoFilter ref="A1:B11" xr:uid="{97C4051B-D6BB-4D9A-8E51-170E2121D0DF}"/>
  <tableColumns count="2">
    <tableColumn id="1" xr3:uid="{A5DFA472-43B2-45D7-9B58-A5340AFC6433}" uniqueName="1" name="SaleID" queryTableFieldId="1"/>
    <tableColumn id="2" xr3:uid="{A1F44039-E73E-473E-A200-9C1CCDBEBE07}" uniqueName="2" name="Region" queryTableFieldId="2"/>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882FE41-EB97-4B96-9C53-D1A17D126A3F}" name="products_details" displayName="products_details" ref="A1:C11" tableType="queryTable" totalsRowShown="0">
  <autoFilter ref="A1:C11" xr:uid="{8A5837B3-D5CC-41A2-AFCB-F41BCA197498}"/>
  <tableColumns count="3">
    <tableColumn id="1" xr3:uid="{1AAEA107-EA22-4D88-BB69-E567F752CA30}" uniqueName="1" name="ProductID" queryTableFieldId="1"/>
    <tableColumn id="2" xr3:uid="{3C88367B-F1CD-42FE-81D7-0FDA5DDF9717}" uniqueName="2" name="product name" queryTableFieldId="2"/>
    <tableColumn id="3" xr3:uid="{C5066748-70C6-40CF-8A15-0E2BB73FAB68}" uniqueName="3" name="categorry" queryTableFieldId="3"/>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A75D698-F0CF-4843-9FFD-07F454C0F940}" name="sales_mar_apr" displayName="sales_mar_apr" ref="A1:F10" tableType="queryTable" totalsRowShown="0">
  <autoFilter ref="A1:F10" xr:uid="{1C3D5243-B285-41C2-88FF-0C7795E19314}"/>
  <tableColumns count="6">
    <tableColumn id="1" xr3:uid="{B5D41E2E-9326-41A0-B34A-42A655F2A9A0}" uniqueName="1" name="SaleID" queryTableFieldId="1"/>
    <tableColumn id="2" xr3:uid="{0C8791D4-0E51-4B96-AB47-C8FDBE043D91}" uniqueName="2" name="Product" queryTableFieldId="2"/>
    <tableColumn id="3" xr3:uid="{319BD84B-BB4C-47F6-B81E-4CBC399E5153}" uniqueName="3" name="mar" queryTableFieldId="3"/>
    <tableColumn id="4" xr3:uid="{A62404DB-F228-4CA8-857B-2ECE02A581B6}" uniqueName="4" name="Mar_sales" queryTableFieldId="4"/>
    <tableColumn id="5" xr3:uid="{EF0D1D34-C07C-483A-A98A-6680AED5B2D5}" uniqueName="5" name="april" queryTableFieldId="5"/>
    <tableColumn id="6" xr3:uid="{59AAD92C-DD0F-442A-91B8-6495FB0BADAC}" uniqueName="6" name="april_sales" queryTableFieldId="6"/>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39A4EA-4063-4EAB-BBB2-1B594E74C837}" name="sales_jan_feb" displayName="sales_jan_feb" ref="A1:F36" tableType="queryTable" totalsRowShown="0">
  <autoFilter ref="A1:F36" xr:uid="{C9135B19-A0BB-4689-8EB4-859CA581F686}"/>
  <tableColumns count="6">
    <tableColumn id="1" xr3:uid="{DD88080C-955C-4A49-945D-20D78B73E7DF}" uniqueName="1" name="SaleID" queryTableFieldId="1"/>
    <tableColumn id="2" xr3:uid="{5B3A07A7-51E8-4C13-8681-DC73195F689C}" uniqueName="2" name="Product" queryTableFieldId="2"/>
    <tableColumn id="3" xr3:uid="{62C2B0BC-E4DD-4C00-9DB9-1FAA76255FDD}" uniqueName="3" name="Jan" queryTableFieldId="3"/>
    <tableColumn id="4" xr3:uid="{2D389C90-1911-4AE2-A99F-352B65FFF934}" uniqueName="4" name="jan_sales" queryTableFieldId="4"/>
    <tableColumn id="5" xr3:uid="{39036025-3728-460D-956E-7316A4BC44AF}" uniqueName="5" name="feb" queryTableFieldId="5"/>
    <tableColumn id="6" xr3:uid="{8A8EAE58-6086-4E55-9239-8010FEF7D3CA}" uniqueName="6" name="feb_sales" queryTableFieldId="6"/>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9C8C572-128B-42E0-B718-6712C21E0BD9}" name="Table4" displayName="Table4" ref="A1:E22" totalsRowShown="0">
  <autoFilter ref="A1:E22" xr:uid="{8590CF70-9670-43FE-B67D-9EEFC72EC91A}"/>
  <tableColumns count="5">
    <tableColumn id="1" xr3:uid="{37424B33-C15D-464C-8801-8B46E92F8A7B}" name="department"/>
    <tableColumn id="2" xr3:uid="{4C69520C-19F4-4FF9-989F-3FE0EC23338C}" name="age"/>
    <tableColumn id="3" xr3:uid="{FEEDCCC3-5FAF-4623-AE4E-F13D8CFA6365}" name="salary"/>
    <tableColumn id="4" xr3:uid="{036923FA-F931-4721-8113-CD6334FFFE57}" name="Column1"/>
    <tableColumn id="5" xr3:uid="{18DE2611-04E8-409C-930D-2F24EB4D2E79}" name="Column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B463AD6-B9ED-4955-85B0-C452A833D523}" name="Table12" displayName="Table12" ref="A1:I21" totalsRowShown="0" headerRowDxfId="2" dataDxfId="15" headerRowBorderDxfId="13" tableBorderDxfId="14" totalsRowBorderDxfId="12">
  <autoFilter ref="A1:I21" xr:uid="{7DD5166E-EA0A-47C8-B65B-6E918C89F05B}"/>
  <tableColumns count="9">
    <tableColumn id="1" xr3:uid="{CE4A5B2E-AD3C-444C-9C9D-B2D1D9892048}" name="sales" dataDxfId="11"/>
    <tableColumn id="2" xr3:uid="{C6BEF769-6BAE-45AB-AA6B-DABAEA6475BF}" name="id" dataDxfId="10"/>
    <tableColumn id="3" xr3:uid="{E7BB31FF-375D-4B2E-8F71-D41DF317F5FD}" name="product" dataDxfId="9"/>
    <tableColumn id="4" xr3:uid="{D5FCB3AA-8ECC-4B3B-8A2B-E32ED4993E32}" name="name" dataDxfId="8"/>
    <tableColumn id="5" xr3:uid="{66B396E0-F11C-4D6E-BD24-4B558CC450EB}" name="region" dataDxfId="7"/>
    <tableColumn id="6" xr3:uid="{DF224A08-EEC5-42F1-A824-C442D0AA1F65}" name="sales2" dataDxfId="6"/>
    <tableColumn id="7" xr3:uid="{1BAD7A6F-8C11-470C-B2F9-BC4F5B5DDA3A}" name="amount" dataDxfId="5"/>
    <tableColumn id="8" xr3:uid="{C314F52F-E93F-4782-A016-E2EBC4A6A291}" name="order" dataDxfId="4"/>
    <tableColumn id="9" xr3:uid="{D83A382C-D7F7-4511-86E8-2EE10CE50251}" name="date" dataDxfId="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56BF0A9-2A19-410C-BFDB-0226F3F2B380}" name="Table12" displayName="Table12" ref="A1:I21" totalsRowShown="0">
  <autoFilter ref="A1:I21" xr:uid="{A569C1B9-BF02-4D82-9920-C3D6F4A1D76C}"/>
  <tableColumns count="9">
    <tableColumn id="1" xr3:uid="{74C3BA43-E139-4359-B4F4-0C9E38D4EDBB}" name="sales"/>
    <tableColumn id="2" xr3:uid="{FE8CF7DE-9048-4507-AE5D-5C90B7BB8D05}" name="id"/>
    <tableColumn id="3" xr3:uid="{619AC77C-E0E3-45F5-92D7-7C683CAFDC9D}" name="product"/>
    <tableColumn id="4" xr3:uid="{2591FF02-93CC-41FE-811F-1A8EE6335DDB}" name="name"/>
    <tableColumn id="5" xr3:uid="{4E6D4240-4AD9-4151-86B6-5CB25EC012B3}" name="region"/>
    <tableColumn id="6" xr3:uid="{EFDD4177-8C03-4514-AB61-06FE9421FF63}" name="sales2"/>
    <tableColumn id="7" xr3:uid="{80AA5F20-1EEE-4C24-83DC-441861A4D978}" name="amount"/>
    <tableColumn id="8" xr3:uid="{CAC0E56D-94D6-460F-91A3-E3E1C561D5AB}" name="order"/>
    <tableColumn id="9" xr3:uid="{6B6CD37A-B4EB-4EDB-B507-950FB1C0BDD9}" name="dat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7A81D19-577C-470C-8565-FBD8F2F71435}" name="products_details__2" displayName="products_details__2" ref="A1:C12" tableType="queryTable" totalsRowShown="0">
  <autoFilter ref="A1:C12" xr:uid="{64AF1458-C40F-47C3-9D38-687F41F7B778}"/>
  <tableColumns count="3">
    <tableColumn id="1" xr3:uid="{62887C45-428B-4FC6-897C-B7AA42502055}" uniqueName="1" name="ProductID" queryTableFieldId="1"/>
    <tableColumn id="2" xr3:uid="{B8285CE9-4A39-407A-A828-4199FF64EFAA}" uniqueName="2" name="product name" queryTableFieldId="2"/>
    <tableColumn id="3" xr3:uid="{A1774F16-8511-4803-9B80-BEAA8F881181}" uniqueName="3" name="categorry" queryTableFieldId="3"/>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A65EB43-229C-441F-85CF-A121FAEA8D36}" name="ID_Sales_Quantity_Discount" displayName="ID_Sales_Quantity_Discount" ref="A1:D6" tableType="queryTable" totalsRowShown="0">
  <autoFilter ref="A1:D6" xr:uid="{DF41E847-DB2F-4131-B17A-60DD3816DCD2}"/>
  <tableColumns count="4">
    <tableColumn id="1" xr3:uid="{891F9002-68A3-4C5F-A3F2-479299526B1B}" uniqueName="1" name="ID" queryTableFieldId="1"/>
    <tableColumn id="2" xr3:uid="{AA6B1EB9-F3D3-40E6-8333-02E794142D22}" uniqueName="2" name="Sales" queryTableFieldId="2" dataDxfId="0"/>
    <tableColumn id="3" xr3:uid="{AC9EF370-6E73-4ED8-8B07-5A279EBB8517}" uniqueName="3" name="Quantity" queryTableFieldId="3"/>
    <tableColumn id="4" xr3:uid="{6E692921-83C9-405F-AE47-BF9847EABCC7}" uniqueName="4" name="Discount" queryTableFieldId="4" dataCellStyle="Percent"/>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bin"/></Relationships>
</file>

<file path=xl/worksheets/_rels/sheet21.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22.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8.xml"/><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0454B-32DA-49F7-97D6-2D85A1B20D5B}">
  <dimension ref="A3:F21"/>
  <sheetViews>
    <sheetView workbookViewId="0">
      <selection activeCell="C21" sqref="C21"/>
    </sheetView>
  </sheetViews>
  <sheetFormatPr defaultRowHeight="14.5" x14ac:dyDescent="0.35"/>
  <cols>
    <col min="1" max="1" width="12.33203125" bestFit="1" customWidth="1"/>
    <col min="2" max="2" width="15.58203125" bestFit="1" customWidth="1"/>
    <col min="5" max="5" width="16" bestFit="1" customWidth="1"/>
    <col min="6" max="6" width="15.58203125" bestFit="1" customWidth="1"/>
  </cols>
  <sheetData>
    <row r="3" spans="1:6" x14ac:dyDescent="0.35">
      <c r="A3" s="5" t="s">
        <v>70</v>
      </c>
      <c r="B3" s="6" t="s">
        <v>66</v>
      </c>
      <c r="E3" s="5" t="s">
        <v>71</v>
      </c>
      <c r="F3" s="6" t="s">
        <v>66</v>
      </c>
    </row>
    <row r="4" spans="1:6" x14ac:dyDescent="0.35">
      <c r="A4" s="7" t="s">
        <v>62</v>
      </c>
      <c r="B4" s="8">
        <v>140920</v>
      </c>
      <c r="E4" s="7" t="s">
        <v>56</v>
      </c>
      <c r="F4" s="8">
        <v>111060</v>
      </c>
    </row>
    <row r="5" spans="1:6" x14ac:dyDescent="0.35">
      <c r="A5" s="7" t="s">
        <v>58</v>
      </c>
      <c r="B5" s="8">
        <v>150295</v>
      </c>
      <c r="E5" s="9" t="s">
        <v>61</v>
      </c>
      <c r="F5" s="8">
        <v>111060</v>
      </c>
    </row>
    <row r="6" spans="1:6" x14ac:dyDescent="0.35">
      <c r="A6" s="7" t="s">
        <v>59</v>
      </c>
      <c r="B6" s="8">
        <v>170725</v>
      </c>
      <c r="E6" s="7" t="s">
        <v>54</v>
      </c>
      <c r="F6" s="8">
        <v>120065</v>
      </c>
    </row>
    <row r="7" spans="1:6" x14ac:dyDescent="0.35">
      <c r="A7" s="7" t="s">
        <v>63</v>
      </c>
      <c r="B7" s="8">
        <v>132060</v>
      </c>
      <c r="E7" s="9" t="s">
        <v>59</v>
      </c>
      <c r="F7" s="8">
        <v>120065</v>
      </c>
    </row>
    <row r="8" spans="1:6" x14ac:dyDescent="0.35">
      <c r="A8" s="7" t="s">
        <v>61</v>
      </c>
      <c r="B8" s="8">
        <v>131160</v>
      </c>
      <c r="E8" s="7" t="s">
        <v>57</v>
      </c>
      <c r="F8" s="8">
        <v>159420</v>
      </c>
    </row>
    <row r="9" spans="1:6" x14ac:dyDescent="0.35">
      <c r="A9" s="7" t="s">
        <v>60</v>
      </c>
      <c r="B9" s="8">
        <v>109020</v>
      </c>
      <c r="E9" s="9" t="s">
        <v>62</v>
      </c>
      <c r="F9" s="8">
        <v>122430</v>
      </c>
    </row>
    <row r="10" spans="1:6" x14ac:dyDescent="0.35">
      <c r="E10" s="9" t="s">
        <v>58</v>
      </c>
      <c r="F10" s="8">
        <v>16890</v>
      </c>
    </row>
    <row r="11" spans="1:6" x14ac:dyDescent="0.35">
      <c r="E11" s="9" t="s">
        <v>61</v>
      </c>
      <c r="F11" s="8">
        <v>20100</v>
      </c>
    </row>
    <row r="12" spans="1:6" x14ac:dyDescent="0.35">
      <c r="E12" s="7" t="s">
        <v>52</v>
      </c>
      <c r="F12" s="8">
        <v>151000</v>
      </c>
    </row>
    <row r="13" spans="1:6" x14ac:dyDescent="0.35">
      <c r="E13" s="9" t="s">
        <v>59</v>
      </c>
      <c r="F13" s="8">
        <v>31540</v>
      </c>
    </row>
    <row r="14" spans="1:6" x14ac:dyDescent="0.35">
      <c r="E14" s="9" t="s">
        <v>63</v>
      </c>
      <c r="F14" s="8">
        <v>119460</v>
      </c>
    </row>
    <row r="15" spans="1:6" x14ac:dyDescent="0.35">
      <c r="E15" s="7" t="s">
        <v>53</v>
      </c>
      <c r="F15" s="8">
        <v>183615</v>
      </c>
    </row>
    <row r="16" spans="1:6" x14ac:dyDescent="0.35">
      <c r="E16" s="9" t="s">
        <v>62</v>
      </c>
      <c r="F16" s="8">
        <v>18490</v>
      </c>
    </row>
    <row r="17" spans="5:6" x14ac:dyDescent="0.35">
      <c r="E17" s="9" t="s">
        <v>58</v>
      </c>
      <c r="F17" s="8">
        <v>133405</v>
      </c>
    </row>
    <row r="18" spans="5:6" x14ac:dyDescent="0.35">
      <c r="E18" s="9" t="s">
        <v>59</v>
      </c>
      <c r="F18" s="8">
        <v>19120</v>
      </c>
    </row>
    <row r="19" spans="5:6" x14ac:dyDescent="0.35">
      <c r="E19" s="9" t="s">
        <v>63</v>
      </c>
      <c r="F19" s="8">
        <v>12600</v>
      </c>
    </row>
    <row r="20" spans="5:6" x14ac:dyDescent="0.35">
      <c r="E20" s="7" t="s">
        <v>55</v>
      </c>
      <c r="F20" s="8">
        <v>109020</v>
      </c>
    </row>
    <row r="21" spans="5:6" x14ac:dyDescent="0.35">
      <c r="E21" s="9" t="s">
        <v>60</v>
      </c>
      <c r="F21" s="8">
        <v>109020</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138FD-8B99-4BDF-A278-C71A7BCBF08E}">
  <dimension ref="A3:B9"/>
  <sheetViews>
    <sheetView workbookViewId="0">
      <selection activeCell="O7" sqref="O7"/>
    </sheetView>
  </sheetViews>
  <sheetFormatPr defaultRowHeight="14.5" x14ac:dyDescent="0.35"/>
  <cols>
    <col min="1" max="1" width="11.58203125" bestFit="1" customWidth="1"/>
    <col min="2" max="2" width="18.83203125" bestFit="1" customWidth="1"/>
  </cols>
  <sheetData>
    <row r="3" spans="1:2" x14ac:dyDescent="0.35">
      <c r="A3" s="2" t="s">
        <v>68</v>
      </c>
      <c r="B3" t="s">
        <v>69</v>
      </c>
    </row>
    <row r="4" spans="1:2" x14ac:dyDescent="0.35">
      <c r="A4" s="3" t="s">
        <v>56</v>
      </c>
      <c r="B4" s="4">
        <v>111060</v>
      </c>
    </row>
    <row r="5" spans="1:2" x14ac:dyDescent="0.35">
      <c r="A5" s="3" t="s">
        <v>54</v>
      </c>
      <c r="B5" s="4">
        <v>120065</v>
      </c>
    </row>
    <row r="6" spans="1:2" x14ac:dyDescent="0.35">
      <c r="A6" s="3" t="s">
        <v>57</v>
      </c>
      <c r="B6" s="4">
        <v>159420</v>
      </c>
    </row>
    <row r="7" spans="1:2" x14ac:dyDescent="0.35">
      <c r="A7" s="3" t="s">
        <v>52</v>
      </c>
      <c r="B7" s="4">
        <v>151000</v>
      </c>
    </row>
    <row r="8" spans="1:2" x14ac:dyDescent="0.35">
      <c r="A8" s="3" t="s">
        <v>53</v>
      </c>
      <c r="B8" s="4">
        <v>183615</v>
      </c>
    </row>
    <row r="9" spans="1:2" x14ac:dyDescent="0.35">
      <c r="A9" s="3" t="s">
        <v>55</v>
      </c>
      <c r="B9" s="4">
        <v>109020</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56ABE-3662-44F3-9740-0E2E5DA5AEB8}">
  <dimension ref="A3:C20"/>
  <sheetViews>
    <sheetView topLeftCell="B1" zoomScale="115" zoomScaleNormal="115" workbookViewId="0">
      <selection activeCell="O8" sqref="O8"/>
    </sheetView>
  </sheetViews>
  <sheetFormatPr defaultRowHeight="14.5" x14ac:dyDescent="0.35"/>
  <cols>
    <col min="1" max="1" width="12.6640625" bestFit="1" customWidth="1"/>
    <col min="2" max="2" width="15.58203125" bestFit="1" customWidth="1"/>
  </cols>
  <sheetData>
    <row r="3" spans="1:3" x14ac:dyDescent="0.35">
      <c r="A3" s="6"/>
      <c r="B3" s="6"/>
      <c r="C3" s="6"/>
    </row>
    <row r="4" spans="1:3" x14ac:dyDescent="0.35">
      <c r="A4" s="6"/>
      <c r="B4" s="6"/>
      <c r="C4" s="6"/>
    </row>
    <row r="5" spans="1:3" x14ac:dyDescent="0.35">
      <c r="A5" s="6"/>
      <c r="B5" s="6"/>
      <c r="C5" s="6"/>
    </row>
    <row r="6" spans="1:3" x14ac:dyDescent="0.35">
      <c r="A6" s="6"/>
      <c r="B6" s="6"/>
      <c r="C6" s="6"/>
    </row>
    <row r="7" spans="1:3" x14ac:dyDescent="0.35">
      <c r="A7" s="6"/>
      <c r="B7" s="6"/>
      <c r="C7" s="6"/>
    </row>
    <row r="8" spans="1:3" x14ac:dyDescent="0.35">
      <c r="A8" s="6"/>
      <c r="B8" s="6"/>
      <c r="C8" s="6"/>
    </row>
    <row r="9" spans="1:3" x14ac:dyDescent="0.35">
      <c r="A9" s="6"/>
      <c r="B9" s="6"/>
      <c r="C9" s="6"/>
    </row>
    <row r="10" spans="1:3" x14ac:dyDescent="0.35">
      <c r="A10" s="6"/>
      <c r="B10" s="6"/>
      <c r="C10" s="6"/>
    </row>
    <row r="11" spans="1:3" x14ac:dyDescent="0.35">
      <c r="A11" s="6"/>
      <c r="B11" s="6"/>
      <c r="C11" s="6"/>
    </row>
    <row r="12" spans="1:3" x14ac:dyDescent="0.35">
      <c r="A12" s="6"/>
      <c r="B12" s="6"/>
      <c r="C12" s="6"/>
    </row>
    <row r="13" spans="1:3" x14ac:dyDescent="0.35">
      <c r="A13" s="6"/>
      <c r="B13" s="6"/>
      <c r="C13" s="6"/>
    </row>
    <row r="14" spans="1:3" x14ac:dyDescent="0.35">
      <c r="A14" s="6"/>
      <c r="B14" s="6"/>
      <c r="C14" s="6"/>
    </row>
    <row r="15" spans="1:3" x14ac:dyDescent="0.35">
      <c r="A15" s="6"/>
      <c r="B15" s="6"/>
      <c r="C15" s="6"/>
    </row>
    <row r="16" spans="1:3" x14ac:dyDescent="0.35">
      <c r="A16" s="6"/>
      <c r="B16" s="6"/>
      <c r="C16" s="6"/>
    </row>
    <row r="17" spans="1:3" x14ac:dyDescent="0.35">
      <c r="A17" s="6"/>
      <c r="B17" s="6"/>
      <c r="C17" s="6"/>
    </row>
    <row r="18" spans="1:3" x14ac:dyDescent="0.35">
      <c r="A18" s="6"/>
      <c r="B18" s="6"/>
      <c r="C18" s="6"/>
    </row>
    <row r="19" spans="1:3" x14ac:dyDescent="0.35">
      <c r="A19" s="6"/>
      <c r="B19" s="6"/>
      <c r="C19" s="6"/>
    </row>
    <row r="20" spans="1:3" x14ac:dyDescent="0.35">
      <c r="A20" s="6"/>
      <c r="B20" s="6"/>
      <c r="C20" s="6"/>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0F42E-F9BB-419A-BBB4-F373FB341F3D}">
  <dimension ref="A3:B10"/>
  <sheetViews>
    <sheetView topLeftCell="A7" workbookViewId="0">
      <selection activeCell="O15" sqref="O15"/>
    </sheetView>
  </sheetViews>
  <sheetFormatPr defaultRowHeight="14.5" x14ac:dyDescent="0.35"/>
  <cols>
    <col min="1" max="1" width="12.33203125" bestFit="1" customWidth="1"/>
    <col min="2" max="2" width="15.58203125" bestFit="1" customWidth="1"/>
  </cols>
  <sheetData>
    <row r="3" spans="1:2" x14ac:dyDescent="0.35">
      <c r="A3" s="2" t="s">
        <v>143</v>
      </c>
      <c r="B3" t="s">
        <v>66</v>
      </c>
    </row>
    <row r="4" spans="1:2" x14ac:dyDescent="0.35">
      <c r="A4" s="3" t="s">
        <v>56</v>
      </c>
      <c r="B4" s="4">
        <v>111060</v>
      </c>
    </row>
    <row r="5" spans="1:2" x14ac:dyDescent="0.35">
      <c r="A5" s="3" t="s">
        <v>54</v>
      </c>
      <c r="B5" s="4">
        <v>120065</v>
      </c>
    </row>
    <row r="6" spans="1:2" x14ac:dyDescent="0.35">
      <c r="A6" s="3" t="s">
        <v>57</v>
      </c>
      <c r="B6" s="4">
        <v>159420</v>
      </c>
    </row>
    <row r="7" spans="1:2" x14ac:dyDescent="0.35">
      <c r="A7" s="3" t="s">
        <v>52</v>
      </c>
      <c r="B7" s="4">
        <v>151000</v>
      </c>
    </row>
    <row r="8" spans="1:2" x14ac:dyDescent="0.35">
      <c r="A8" s="3" t="s">
        <v>53</v>
      </c>
      <c r="B8" s="4">
        <v>183615</v>
      </c>
    </row>
    <row r="9" spans="1:2" x14ac:dyDescent="0.35">
      <c r="A9" s="3" t="s">
        <v>55</v>
      </c>
      <c r="B9" s="4">
        <v>109020</v>
      </c>
    </row>
    <row r="10" spans="1:2" x14ac:dyDescent="0.35">
      <c r="A10" s="3" t="s">
        <v>145</v>
      </c>
      <c r="B10" s="4">
        <v>834180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8588B-2F54-403E-8580-F5996B917ACD}">
  <dimension ref="A1:I51"/>
  <sheetViews>
    <sheetView workbookViewId="0">
      <selection activeCell="B8" sqref="A2:I51"/>
    </sheetView>
  </sheetViews>
  <sheetFormatPr defaultRowHeight="14.5" x14ac:dyDescent="0.35"/>
  <cols>
    <col min="1" max="1" width="11.4140625" customWidth="1"/>
    <col min="2" max="2" width="14.6640625" customWidth="1"/>
    <col min="4" max="4" width="11.1640625" customWidth="1"/>
    <col min="5" max="5" width="10.75" style="11" customWidth="1"/>
    <col min="6" max="6" width="14.1640625" customWidth="1"/>
    <col min="7" max="7" width="11.33203125" customWidth="1"/>
    <col min="9" max="9" width="9.33203125" style="12" customWidth="1"/>
  </cols>
  <sheetData>
    <row r="1" spans="1:9" x14ac:dyDescent="0.35">
      <c r="A1" s="1" t="s">
        <v>0</v>
      </c>
      <c r="B1" s="1" t="s">
        <v>1</v>
      </c>
      <c r="C1" s="1" t="s">
        <v>64</v>
      </c>
      <c r="D1" s="1" t="s">
        <v>65</v>
      </c>
      <c r="E1" s="10" t="s">
        <v>67</v>
      </c>
      <c r="F1" s="1" t="s">
        <v>142</v>
      </c>
      <c r="G1" s="1" t="s">
        <v>159</v>
      </c>
      <c r="H1" s="1" t="s">
        <v>160</v>
      </c>
      <c r="I1" s="13" t="s">
        <v>161</v>
      </c>
    </row>
    <row r="2" spans="1:9" x14ac:dyDescent="0.35">
      <c r="A2" s="1" t="s">
        <v>2</v>
      </c>
      <c r="B2" s="1" t="s">
        <v>58</v>
      </c>
      <c r="C2" s="1" t="s">
        <v>53</v>
      </c>
      <c r="D2" s="1">
        <v>12500</v>
      </c>
      <c r="E2" s="10">
        <v>44931</v>
      </c>
      <c r="F2" s="1" t="s">
        <v>146</v>
      </c>
      <c r="G2" s="1">
        <v>9600</v>
      </c>
      <c r="H2" s="1">
        <v>2900</v>
      </c>
      <c r="I2" s="13">
        <v>0.23200000000000001</v>
      </c>
    </row>
    <row r="3" spans="1:9" x14ac:dyDescent="0.35">
      <c r="A3" s="1" t="s">
        <v>3</v>
      </c>
      <c r="B3" s="1" t="s">
        <v>59</v>
      </c>
      <c r="C3" s="1" t="s">
        <v>54</v>
      </c>
      <c r="D3" s="1">
        <v>17890</v>
      </c>
      <c r="E3" s="10">
        <v>44938</v>
      </c>
      <c r="F3" s="1" t="s">
        <v>146</v>
      </c>
      <c r="G3" s="1">
        <v>13500</v>
      </c>
      <c r="H3" s="1">
        <v>4390</v>
      </c>
      <c r="I3" s="13">
        <v>0.24538848518725545</v>
      </c>
    </row>
    <row r="4" spans="1:9" x14ac:dyDescent="0.35">
      <c r="A4" s="1" t="s">
        <v>4</v>
      </c>
      <c r="B4" s="1" t="s">
        <v>60</v>
      </c>
      <c r="C4" s="1" t="s">
        <v>55</v>
      </c>
      <c r="D4" s="1">
        <v>15420</v>
      </c>
      <c r="E4" s="10">
        <v>44944</v>
      </c>
      <c r="F4" s="1" t="s">
        <v>146</v>
      </c>
      <c r="G4" s="1">
        <v>11800</v>
      </c>
      <c r="H4" s="1">
        <v>3620</v>
      </c>
      <c r="I4" s="13">
        <v>0.23476005188067445</v>
      </c>
    </row>
    <row r="5" spans="1:9" x14ac:dyDescent="0.35">
      <c r="A5" s="1" t="s">
        <v>5</v>
      </c>
      <c r="B5" s="1" t="s">
        <v>61</v>
      </c>
      <c r="C5" s="1" t="s">
        <v>56</v>
      </c>
      <c r="D5" s="1">
        <v>9800</v>
      </c>
      <c r="E5" s="10">
        <v>44951</v>
      </c>
      <c r="F5" s="1" t="s">
        <v>146</v>
      </c>
      <c r="G5" s="1">
        <v>7600</v>
      </c>
      <c r="H5" s="1">
        <v>2200</v>
      </c>
      <c r="I5" s="13">
        <v>0.22448979591836735</v>
      </c>
    </row>
    <row r="6" spans="1:9" x14ac:dyDescent="0.35">
      <c r="A6" s="1" t="s">
        <v>6</v>
      </c>
      <c r="B6" s="1" t="s">
        <v>62</v>
      </c>
      <c r="C6" s="1" t="s">
        <v>57</v>
      </c>
      <c r="D6" s="1">
        <v>22150</v>
      </c>
      <c r="E6" s="10">
        <v>44959</v>
      </c>
      <c r="F6" s="1" t="s">
        <v>147</v>
      </c>
      <c r="G6" s="1">
        <v>16800</v>
      </c>
      <c r="H6" s="1">
        <v>5350</v>
      </c>
      <c r="I6" s="13">
        <v>0.24153498871331827</v>
      </c>
    </row>
    <row r="7" spans="1:9" x14ac:dyDescent="0.35">
      <c r="A7" s="1" t="s">
        <v>7</v>
      </c>
      <c r="B7" s="1" t="s">
        <v>63</v>
      </c>
      <c r="C7" s="1" t="s">
        <v>52</v>
      </c>
      <c r="D7" s="1">
        <v>13400</v>
      </c>
      <c r="E7" s="10">
        <v>44965</v>
      </c>
      <c r="F7" s="1" t="s">
        <v>147</v>
      </c>
      <c r="G7" s="1">
        <v>10200</v>
      </c>
      <c r="H7" s="1">
        <v>3200</v>
      </c>
      <c r="I7" s="13">
        <v>0.23880597014925373</v>
      </c>
    </row>
    <row r="8" spans="1:9" x14ac:dyDescent="0.35">
      <c r="A8" s="1" t="s">
        <v>8</v>
      </c>
      <c r="B8" s="1" t="s">
        <v>58</v>
      </c>
      <c r="C8" s="1" t="s">
        <v>53</v>
      </c>
      <c r="D8" s="1">
        <v>16575</v>
      </c>
      <c r="E8" s="10">
        <v>44972</v>
      </c>
      <c r="F8" s="1" t="s">
        <v>147</v>
      </c>
      <c r="G8" s="1">
        <v>12600</v>
      </c>
      <c r="H8" s="1">
        <v>3975</v>
      </c>
      <c r="I8" s="13">
        <v>0.23981900452488689</v>
      </c>
    </row>
    <row r="9" spans="1:9" x14ac:dyDescent="0.35">
      <c r="A9" s="1" t="s">
        <v>9</v>
      </c>
      <c r="B9" s="1" t="s">
        <v>59</v>
      </c>
      <c r="C9" s="1" t="s">
        <v>54</v>
      </c>
      <c r="D9" s="1">
        <v>18990</v>
      </c>
      <c r="E9" s="10">
        <v>44979</v>
      </c>
      <c r="F9" s="1" t="s">
        <v>147</v>
      </c>
      <c r="G9" s="1">
        <v>14500</v>
      </c>
      <c r="H9" s="1">
        <v>4490</v>
      </c>
      <c r="I9" s="13">
        <v>0.2364402317008952</v>
      </c>
    </row>
    <row r="10" spans="1:9" x14ac:dyDescent="0.35">
      <c r="A10" s="1" t="s">
        <v>10</v>
      </c>
      <c r="B10" s="1" t="s">
        <v>60</v>
      </c>
      <c r="C10" s="1" t="s">
        <v>55</v>
      </c>
      <c r="D10" s="1">
        <v>14350</v>
      </c>
      <c r="E10" s="10">
        <v>44986</v>
      </c>
      <c r="F10" s="1" t="s">
        <v>148</v>
      </c>
      <c r="G10" s="1">
        <v>11000</v>
      </c>
      <c r="H10" s="1">
        <v>3350</v>
      </c>
      <c r="I10" s="13">
        <v>0.23344947735191637</v>
      </c>
    </row>
    <row r="11" spans="1:9" x14ac:dyDescent="0.35">
      <c r="A11" s="1" t="s">
        <v>11</v>
      </c>
      <c r="B11" s="1" t="s">
        <v>61</v>
      </c>
      <c r="C11" s="1" t="s">
        <v>56</v>
      </c>
      <c r="D11" s="1">
        <v>21000</v>
      </c>
      <c r="E11" s="10">
        <v>44992</v>
      </c>
      <c r="F11" s="1" t="s">
        <v>148</v>
      </c>
      <c r="G11" s="1">
        <v>16000</v>
      </c>
      <c r="H11" s="1">
        <v>5000</v>
      </c>
      <c r="I11" s="13">
        <v>0.23809523809523808</v>
      </c>
    </row>
    <row r="12" spans="1:9" x14ac:dyDescent="0.35">
      <c r="A12" s="1" t="s">
        <v>12</v>
      </c>
      <c r="B12" s="1" t="s">
        <v>62</v>
      </c>
      <c r="C12" s="1" t="s">
        <v>57</v>
      </c>
      <c r="D12" s="1">
        <v>9750</v>
      </c>
      <c r="E12" s="10">
        <v>44999</v>
      </c>
      <c r="F12" s="1" t="s">
        <v>148</v>
      </c>
      <c r="G12" s="1">
        <v>7400</v>
      </c>
      <c r="H12" s="1">
        <v>2350</v>
      </c>
      <c r="I12" s="13">
        <v>0.24102564102564103</v>
      </c>
    </row>
    <row r="13" spans="1:9" x14ac:dyDescent="0.35">
      <c r="A13" s="1" t="s">
        <v>13</v>
      </c>
      <c r="B13" s="1" t="s">
        <v>63</v>
      </c>
      <c r="C13" s="1" t="s">
        <v>52</v>
      </c>
      <c r="D13" s="1">
        <v>16200</v>
      </c>
      <c r="E13" s="10">
        <v>45006</v>
      </c>
      <c r="F13" s="1" t="s">
        <v>148</v>
      </c>
      <c r="G13" s="1">
        <v>12400</v>
      </c>
      <c r="H13" s="1">
        <v>3800</v>
      </c>
      <c r="I13" s="13">
        <v>0.23456790123456789</v>
      </c>
    </row>
    <row r="14" spans="1:9" x14ac:dyDescent="0.35">
      <c r="A14" s="1" t="s">
        <v>14</v>
      </c>
      <c r="B14" s="1" t="s">
        <v>58</v>
      </c>
      <c r="C14" s="1" t="s">
        <v>53</v>
      </c>
      <c r="D14" s="1">
        <v>19840</v>
      </c>
      <c r="E14" s="10">
        <v>45013</v>
      </c>
      <c r="F14" s="1" t="s">
        <v>148</v>
      </c>
      <c r="G14" s="1">
        <v>15100</v>
      </c>
      <c r="H14" s="1">
        <v>4740</v>
      </c>
      <c r="I14" s="13">
        <v>0.23891129032258066</v>
      </c>
    </row>
    <row r="15" spans="1:9" x14ac:dyDescent="0.35">
      <c r="A15" s="1" t="s">
        <v>15</v>
      </c>
      <c r="B15" s="1" t="s">
        <v>59</v>
      </c>
      <c r="C15" s="1" t="s">
        <v>54</v>
      </c>
      <c r="D15" s="1">
        <v>14760</v>
      </c>
      <c r="E15" s="10">
        <v>45020</v>
      </c>
      <c r="F15" s="1" t="s">
        <v>149</v>
      </c>
      <c r="G15" s="1">
        <v>11300</v>
      </c>
      <c r="H15" s="1">
        <v>3460</v>
      </c>
      <c r="I15" s="13">
        <v>0.23441734417344173</v>
      </c>
    </row>
    <row r="16" spans="1:9" x14ac:dyDescent="0.35">
      <c r="A16" s="1" t="s">
        <v>16</v>
      </c>
      <c r="B16" s="1" t="s">
        <v>60</v>
      </c>
      <c r="C16" s="1" t="s">
        <v>55</v>
      </c>
      <c r="D16" s="1">
        <v>23500</v>
      </c>
      <c r="E16" s="10">
        <v>45027</v>
      </c>
      <c r="F16" s="1" t="s">
        <v>149</v>
      </c>
      <c r="G16" s="1">
        <v>17800</v>
      </c>
      <c r="H16" s="1">
        <v>5700</v>
      </c>
      <c r="I16" s="13">
        <v>0.24255319148936169</v>
      </c>
    </row>
    <row r="17" spans="1:9" x14ac:dyDescent="0.35">
      <c r="A17" s="1" t="s">
        <v>17</v>
      </c>
      <c r="B17" s="1" t="s">
        <v>61</v>
      </c>
      <c r="C17" s="1" t="s">
        <v>56</v>
      </c>
      <c r="D17" s="1">
        <v>12890</v>
      </c>
      <c r="E17" s="10">
        <v>45034</v>
      </c>
      <c r="F17" s="1" t="s">
        <v>149</v>
      </c>
      <c r="G17" s="1">
        <v>9900</v>
      </c>
      <c r="H17" s="1">
        <v>2990</v>
      </c>
      <c r="I17" s="13">
        <v>0.23196276183087663</v>
      </c>
    </row>
    <row r="18" spans="1:9" x14ac:dyDescent="0.35">
      <c r="A18" s="1" t="s">
        <v>18</v>
      </c>
      <c r="B18" s="1" t="s">
        <v>62</v>
      </c>
      <c r="C18" s="1" t="s">
        <v>57</v>
      </c>
      <c r="D18" s="1">
        <v>17120</v>
      </c>
      <c r="E18" s="10">
        <v>45041</v>
      </c>
      <c r="F18" s="1" t="s">
        <v>149</v>
      </c>
      <c r="G18" s="1">
        <v>13000</v>
      </c>
      <c r="H18" s="1">
        <v>4120</v>
      </c>
      <c r="I18" s="13">
        <v>0.24065420560747663</v>
      </c>
    </row>
    <row r="19" spans="1:9" x14ac:dyDescent="0.35">
      <c r="A19" s="1" t="s">
        <v>19</v>
      </c>
      <c r="B19" s="1" t="s">
        <v>63</v>
      </c>
      <c r="C19" s="1" t="s">
        <v>52</v>
      </c>
      <c r="D19" s="1">
        <v>15950</v>
      </c>
      <c r="E19" s="10">
        <v>45048</v>
      </c>
      <c r="F19" s="1" t="s">
        <v>150</v>
      </c>
      <c r="G19" s="1">
        <v>12100</v>
      </c>
      <c r="H19" s="1">
        <v>3850</v>
      </c>
      <c r="I19" s="13">
        <v>0.2413793103448276</v>
      </c>
    </row>
    <row r="20" spans="1:9" x14ac:dyDescent="0.35">
      <c r="A20" s="1" t="s">
        <v>20</v>
      </c>
      <c r="B20" s="1" t="s">
        <v>58</v>
      </c>
      <c r="C20" s="1" t="s">
        <v>53</v>
      </c>
      <c r="D20" s="1">
        <v>20400</v>
      </c>
      <c r="E20" s="10">
        <v>45055</v>
      </c>
      <c r="F20" s="1" t="s">
        <v>150</v>
      </c>
      <c r="G20" s="1">
        <v>15600</v>
      </c>
      <c r="H20" s="1">
        <v>4800</v>
      </c>
      <c r="I20" s="13">
        <v>0.23529411764705882</v>
      </c>
    </row>
    <row r="21" spans="1:9" x14ac:dyDescent="0.35">
      <c r="A21" s="1" t="s">
        <v>21</v>
      </c>
      <c r="B21" s="1" t="s">
        <v>59</v>
      </c>
      <c r="C21" s="1" t="s">
        <v>54</v>
      </c>
      <c r="D21" s="1">
        <v>18675</v>
      </c>
      <c r="E21" s="10">
        <v>45062</v>
      </c>
      <c r="F21" s="1" t="s">
        <v>150</v>
      </c>
      <c r="G21" s="1">
        <v>14300</v>
      </c>
      <c r="H21" s="1">
        <v>4375</v>
      </c>
      <c r="I21" s="13">
        <v>0.23427041499330656</v>
      </c>
    </row>
    <row r="22" spans="1:9" x14ac:dyDescent="0.35">
      <c r="A22" s="1" t="s">
        <v>22</v>
      </c>
      <c r="B22" s="1" t="s">
        <v>60</v>
      </c>
      <c r="C22" s="1" t="s">
        <v>55</v>
      </c>
      <c r="D22" s="1">
        <v>11200</v>
      </c>
      <c r="E22" s="10">
        <v>45069</v>
      </c>
      <c r="F22" s="1" t="s">
        <v>150</v>
      </c>
      <c r="G22" s="1">
        <v>8600</v>
      </c>
      <c r="H22" s="1">
        <v>2600</v>
      </c>
      <c r="I22" s="13">
        <v>0.23214285714285715</v>
      </c>
    </row>
    <row r="23" spans="1:9" x14ac:dyDescent="0.35">
      <c r="A23" s="1" t="s">
        <v>23</v>
      </c>
      <c r="B23" s="1" t="s">
        <v>61</v>
      </c>
      <c r="C23" s="1" t="s">
        <v>56</v>
      </c>
      <c r="D23" s="1">
        <v>14500</v>
      </c>
      <c r="E23" s="10">
        <v>45076</v>
      </c>
      <c r="F23" s="1" t="s">
        <v>150</v>
      </c>
      <c r="G23" s="1">
        <v>11100</v>
      </c>
      <c r="H23" s="1">
        <v>3400</v>
      </c>
      <c r="I23" s="13">
        <v>0.23448275862068965</v>
      </c>
    </row>
    <row r="24" spans="1:9" x14ac:dyDescent="0.35">
      <c r="A24" s="1" t="s">
        <v>24</v>
      </c>
      <c r="B24" s="1" t="s">
        <v>62</v>
      </c>
      <c r="C24" s="1" t="s">
        <v>57</v>
      </c>
      <c r="D24" s="1">
        <v>19320</v>
      </c>
      <c r="E24" s="10">
        <v>45083</v>
      </c>
      <c r="F24" s="1" t="s">
        <v>151</v>
      </c>
      <c r="G24" s="1">
        <v>14800</v>
      </c>
      <c r="H24" s="1">
        <v>4520</v>
      </c>
      <c r="I24" s="13">
        <v>0.23395445134575568</v>
      </c>
    </row>
    <row r="25" spans="1:9" x14ac:dyDescent="0.35">
      <c r="A25" s="1" t="s">
        <v>25</v>
      </c>
      <c r="B25" s="1" t="s">
        <v>63</v>
      </c>
      <c r="C25" s="1" t="s">
        <v>52</v>
      </c>
      <c r="D25" s="1">
        <v>16780</v>
      </c>
      <c r="E25" s="10">
        <v>45090</v>
      </c>
      <c r="F25" s="1" t="s">
        <v>151</v>
      </c>
      <c r="G25" s="1">
        <v>12800</v>
      </c>
      <c r="H25" s="1">
        <v>3980</v>
      </c>
      <c r="I25" s="13">
        <v>0.23718712753277713</v>
      </c>
    </row>
    <row r="26" spans="1:9" x14ac:dyDescent="0.35">
      <c r="A26" s="1" t="s">
        <v>26</v>
      </c>
      <c r="B26" s="1" t="s">
        <v>58</v>
      </c>
      <c r="C26" s="1" t="s">
        <v>53</v>
      </c>
      <c r="D26" s="1">
        <v>21890</v>
      </c>
      <c r="E26" s="10">
        <v>45097</v>
      </c>
      <c r="F26" s="1" t="s">
        <v>151</v>
      </c>
      <c r="G26" s="1">
        <v>16700</v>
      </c>
      <c r="H26" s="1">
        <v>5190</v>
      </c>
      <c r="I26" s="13">
        <v>0.23709456372772955</v>
      </c>
    </row>
    <row r="27" spans="1:9" x14ac:dyDescent="0.35">
      <c r="A27" s="1" t="s">
        <v>27</v>
      </c>
      <c r="B27" s="1" t="s">
        <v>59</v>
      </c>
      <c r="C27" s="1" t="s">
        <v>54</v>
      </c>
      <c r="D27" s="1">
        <v>15640</v>
      </c>
      <c r="E27" s="10">
        <v>45104</v>
      </c>
      <c r="F27" s="1" t="s">
        <v>151</v>
      </c>
      <c r="G27" s="1">
        <v>12000</v>
      </c>
      <c r="H27" s="1">
        <v>3640</v>
      </c>
      <c r="I27" s="13">
        <v>0.23273657289002558</v>
      </c>
    </row>
    <row r="28" spans="1:9" x14ac:dyDescent="0.35">
      <c r="A28" s="1" t="s">
        <v>28</v>
      </c>
      <c r="B28" s="1" t="s">
        <v>60</v>
      </c>
      <c r="C28" s="1" t="s">
        <v>55</v>
      </c>
      <c r="D28" s="1">
        <v>9900</v>
      </c>
      <c r="E28" s="10">
        <v>45111</v>
      </c>
      <c r="F28" s="1" t="s">
        <v>152</v>
      </c>
      <c r="G28" s="1">
        <v>7600</v>
      </c>
      <c r="H28" s="1">
        <v>2300</v>
      </c>
      <c r="I28" s="13">
        <v>0.23232323232323232</v>
      </c>
    </row>
    <row r="29" spans="1:9" x14ac:dyDescent="0.35">
      <c r="A29" s="1" t="s">
        <v>29</v>
      </c>
      <c r="B29" s="1" t="s">
        <v>61</v>
      </c>
      <c r="C29" s="1" t="s">
        <v>56</v>
      </c>
      <c r="D29" s="1">
        <v>18250</v>
      </c>
      <c r="E29" s="10">
        <v>45118</v>
      </c>
      <c r="F29" s="1" t="s">
        <v>152</v>
      </c>
      <c r="G29" s="1">
        <v>13900</v>
      </c>
      <c r="H29" s="1">
        <v>4350</v>
      </c>
      <c r="I29" s="13">
        <v>0.23835616438356164</v>
      </c>
    </row>
    <row r="30" spans="1:9" x14ac:dyDescent="0.35">
      <c r="A30" s="1" t="s">
        <v>30</v>
      </c>
      <c r="B30" s="1" t="s">
        <v>62</v>
      </c>
      <c r="C30" s="1" t="s">
        <v>57</v>
      </c>
      <c r="D30" s="1">
        <v>16990</v>
      </c>
      <c r="E30" s="10">
        <v>45125</v>
      </c>
      <c r="F30" s="1" t="s">
        <v>152</v>
      </c>
      <c r="G30" s="1">
        <v>13000</v>
      </c>
      <c r="H30" s="1">
        <v>3990</v>
      </c>
      <c r="I30" s="13">
        <v>0.23484402589758682</v>
      </c>
    </row>
    <row r="31" spans="1:9" x14ac:dyDescent="0.35">
      <c r="A31" s="1" t="s">
        <v>31</v>
      </c>
      <c r="B31" s="1" t="s">
        <v>63</v>
      </c>
      <c r="C31" s="1" t="s">
        <v>52</v>
      </c>
      <c r="D31" s="1">
        <v>22400</v>
      </c>
      <c r="E31" s="10">
        <v>45132</v>
      </c>
      <c r="F31" s="1" t="s">
        <v>152</v>
      </c>
      <c r="G31" s="1">
        <v>17100</v>
      </c>
      <c r="H31" s="1">
        <v>5300</v>
      </c>
      <c r="I31" s="13">
        <v>0.23660714285714285</v>
      </c>
    </row>
    <row r="32" spans="1:9" x14ac:dyDescent="0.35">
      <c r="A32" s="1" t="s">
        <v>32</v>
      </c>
      <c r="B32" s="1" t="s">
        <v>58</v>
      </c>
      <c r="C32" s="1" t="s">
        <v>53</v>
      </c>
      <c r="D32" s="1">
        <v>13150</v>
      </c>
      <c r="E32" s="10">
        <v>45294</v>
      </c>
      <c r="F32" s="1" t="s">
        <v>153</v>
      </c>
      <c r="G32" s="1">
        <v>10100</v>
      </c>
      <c r="H32" s="1">
        <v>3050</v>
      </c>
      <c r="I32" s="13">
        <v>0.23193916349809887</v>
      </c>
    </row>
    <row r="33" spans="1:9" x14ac:dyDescent="0.35">
      <c r="A33" s="1" t="s">
        <v>33</v>
      </c>
      <c r="B33" s="1" t="s">
        <v>59</v>
      </c>
      <c r="C33" s="1" t="s">
        <v>54</v>
      </c>
      <c r="D33" s="1">
        <v>17680</v>
      </c>
      <c r="E33" s="10">
        <v>45301</v>
      </c>
      <c r="F33" s="1" t="s">
        <v>153</v>
      </c>
      <c r="G33" s="1">
        <v>13500</v>
      </c>
      <c r="H33" s="1">
        <v>4180</v>
      </c>
      <c r="I33" s="13">
        <v>0.23642533936651583</v>
      </c>
    </row>
    <row r="34" spans="1:9" x14ac:dyDescent="0.35">
      <c r="A34" s="1" t="s">
        <v>34</v>
      </c>
      <c r="B34" s="1" t="s">
        <v>60</v>
      </c>
      <c r="C34" s="1" t="s">
        <v>55</v>
      </c>
      <c r="D34" s="1">
        <v>15890</v>
      </c>
      <c r="E34" s="10">
        <v>45308</v>
      </c>
      <c r="F34" s="1" t="s">
        <v>153</v>
      </c>
      <c r="G34" s="1">
        <v>12100</v>
      </c>
      <c r="H34" s="1">
        <v>3790</v>
      </c>
      <c r="I34" s="13">
        <v>0.23851478917558214</v>
      </c>
    </row>
    <row r="35" spans="1:9" x14ac:dyDescent="0.35">
      <c r="A35" s="1" t="s">
        <v>35</v>
      </c>
      <c r="B35" s="1" t="s">
        <v>61</v>
      </c>
      <c r="C35" s="1" t="s">
        <v>56</v>
      </c>
      <c r="D35" s="1">
        <v>19500</v>
      </c>
      <c r="E35" s="10">
        <v>45315</v>
      </c>
      <c r="F35" s="1" t="s">
        <v>153</v>
      </c>
      <c r="G35" s="1">
        <v>14900</v>
      </c>
      <c r="H35" s="1">
        <v>4600</v>
      </c>
      <c r="I35" s="13">
        <v>0.23589743589743589</v>
      </c>
    </row>
    <row r="36" spans="1:9" x14ac:dyDescent="0.35">
      <c r="A36" s="1" t="s">
        <v>36</v>
      </c>
      <c r="B36" s="1" t="s">
        <v>62</v>
      </c>
      <c r="C36" s="1" t="s">
        <v>57</v>
      </c>
      <c r="D36" s="1">
        <v>14200</v>
      </c>
      <c r="E36" s="10">
        <v>45323</v>
      </c>
      <c r="F36" s="1" t="s">
        <v>154</v>
      </c>
      <c r="G36" s="1">
        <v>10900</v>
      </c>
      <c r="H36" s="1">
        <v>3300</v>
      </c>
      <c r="I36" s="13">
        <v>0.23239436619718309</v>
      </c>
    </row>
    <row r="37" spans="1:9" x14ac:dyDescent="0.35">
      <c r="A37" s="1" t="s">
        <v>37</v>
      </c>
      <c r="B37" s="1" t="s">
        <v>63</v>
      </c>
      <c r="C37" s="1" t="s">
        <v>52</v>
      </c>
      <c r="D37" s="1">
        <v>20950</v>
      </c>
      <c r="E37" s="10">
        <v>45330</v>
      </c>
      <c r="F37" s="1" t="s">
        <v>154</v>
      </c>
      <c r="G37" s="1">
        <v>16000</v>
      </c>
      <c r="H37" s="1">
        <v>4950</v>
      </c>
      <c r="I37" s="13">
        <v>0.23627684964200477</v>
      </c>
    </row>
    <row r="38" spans="1:9" x14ac:dyDescent="0.35">
      <c r="A38" s="1" t="s">
        <v>38</v>
      </c>
      <c r="B38" s="1" t="s">
        <v>58</v>
      </c>
      <c r="C38" s="1" t="s">
        <v>53</v>
      </c>
      <c r="D38" s="1">
        <v>11800</v>
      </c>
      <c r="E38" s="10">
        <v>45337</v>
      </c>
      <c r="F38" s="1" t="s">
        <v>154</v>
      </c>
      <c r="G38" s="1">
        <v>9000</v>
      </c>
      <c r="H38" s="1">
        <v>2800</v>
      </c>
      <c r="I38" s="13">
        <v>0.23728813559322035</v>
      </c>
    </row>
    <row r="39" spans="1:9" x14ac:dyDescent="0.35">
      <c r="A39" s="1" t="s">
        <v>39</v>
      </c>
      <c r="B39" s="1" t="s">
        <v>59</v>
      </c>
      <c r="C39" s="1" t="s">
        <v>54</v>
      </c>
      <c r="D39" s="1">
        <v>16430</v>
      </c>
      <c r="E39" s="10">
        <v>45344</v>
      </c>
      <c r="F39" s="1" t="s">
        <v>154</v>
      </c>
      <c r="G39" s="1">
        <v>12500</v>
      </c>
      <c r="H39" s="1">
        <v>3930</v>
      </c>
      <c r="I39" s="13">
        <v>0.23919659160073037</v>
      </c>
    </row>
    <row r="40" spans="1:9" x14ac:dyDescent="0.35">
      <c r="A40" s="1" t="s">
        <v>40</v>
      </c>
      <c r="B40" s="1" t="s">
        <v>60</v>
      </c>
      <c r="C40" s="1" t="s">
        <v>55</v>
      </c>
      <c r="D40" s="1">
        <v>18760</v>
      </c>
      <c r="E40" s="10">
        <v>45352</v>
      </c>
      <c r="F40" s="1" t="s">
        <v>155</v>
      </c>
      <c r="G40" s="1">
        <v>14400</v>
      </c>
      <c r="H40" s="1">
        <v>4360</v>
      </c>
      <c r="I40" s="13">
        <v>0.23240938166311301</v>
      </c>
    </row>
    <row r="41" spans="1:9" x14ac:dyDescent="0.35">
      <c r="A41" s="1" t="s">
        <v>41</v>
      </c>
      <c r="B41" s="1" t="s">
        <v>61</v>
      </c>
      <c r="C41" s="1" t="s">
        <v>56</v>
      </c>
      <c r="D41" s="1">
        <v>15120</v>
      </c>
      <c r="E41" s="10">
        <v>45359</v>
      </c>
      <c r="F41" s="1" t="s">
        <v>155</v>
      </c>
      <c r="G41" s="1">
        <v>11600</v>
      </c>
      <c r="H41" s="1">
        <v>3520</v>
      </c>
      <c r="I41" s="13">
        <v>0.23280423280423279</v>
      </c>
    </row>
    <row r="42" spans="1:9" x14ac:dyDescent="0.35">
      <c r="A42" s="1" t="s">
        <v>42</v>
      </c>
      <c r="B42" s="1" t="s">
        <v>62</v>
      </c>
      <c r="C42" s="1" t="s">
        <v>57</v>
      </c>
      <c r="D42" s="1">
        <v>22900</v>
      </c>
      <c r="E42" s="10">
        <v>45366</v>
      </c>
      <c r="F42" s="1" t="s">
        <v>155</v>
      </c>
      <c r="G42" s="1">
        <v>17500</v>
      </c>
      <c r="H42" s="1">
        <v>5400</v>
      </c>
      <c r="I42" s="13">
        <v>0.23580786026200873</v>
      </c>
    </row>
    <row r="43" spans="1:9" x14ac:dyDescent="0.35">
      <c r="A43" s="1" t="s">
        <v>43</v>
      </c>
      <c r="B43" s="1" t="s">
        <v>63</v>
      </c>
      <c r="C43" s="1" t="s">
        <v>52</v>
      </c>
      <c r="D43" s="1">
        <v>13780</v>
      </c>
      <c r="E43" s="10">
        <v>45373</v>
      </c>
      <c r="F43" s="1" t="s">
        <v>155</v>
      </c>
      <c r="G43" s="1">
        <v>10500</v>
      </c>
      <c r="H43" s="1">
        <v>3280</v>
      </c>
      <c r="I43" s="13">
        <v>0.23802612481857766</v>
      </c>
    </row>
    <row r="44" spans="1:9" x14ac:dyDescent="0.35">
      <c r="A44" s="1" t="s">
        <v>44</v>
      </c>
      <c r="B44" s="1" t="s">
        <v>58</v>
      </c>
      <c r="C44" s="1" t="s">
        <v>53</v>
      </c>
      <c r="D44" s="1">
        <v>17250</v>
      </c>
      <c r="E44" s="10">
        <v>45380</v>
      </c>
      <c r="F44" s="1" t="s">
        <v>155</v>
      </c>
      <c r="G44" s="1">
        <v>13200</v>
      </c>
      <c r="H44" s="1">
        <v>4050</v>
      </c>
      <c r="I44" s="13">
        <v>0.23478260869565218</v>
      </c>
    </row>
    <row r="45" spans="1:9" x14ac:dyDescent="0.35">
      <c r="A45" s="1" t="s">
        <v>45</v>
      </c>
      <c r="B45" s="1" t="s">
        <v>59</v>
      </c>
      <c r="C45" s="1" t="s">
        <v>52</v>
      </c>
      <c r="D45" s="1">
        <v>16040</v>
      </c>
      <c r="E45" s="10">
        <v>45387</v>
      </c>
      <c r="F45" s="1" t="s">
        <v>156</v>
      </c>
      <c r="G45" s="1">
        <v>12300</v>
      </c>
      <c r="H45" s="1">
        <v>3740</v>
      </c>
      <c r="I45" s="13">
        <v>0.23316708229426433</v>
      </c>
    </row>
    <row r="46" spans="1:9" x14ac:dyDescent="0.35">
      <c r="A46" s="1" t="s">
        <v>46</v>
      </c>
      <c r="B46" s="1" t="s">
        <v>61</v>
      </c>
      <c r="C46" s="1" t="s">
        <v>57</v>
      </c>
      <c r="D46" s="1">
        <v>20100</v>
      </c>
      <c r="E46" s="10">
        <v>45394</v>
      </c>
      <c r="F46" s="1" t="s">
        <v>156</v>
      </c>
      <c r="G46" s="1">
        <v>15400</v>
      </c>
      <c r="H46" s="1">
        <v>4700</v>
      </c>
      <c r="I46" s="13">
        <v>0.23383084577114427</v>
      </c>
    </row>
    <row r="47" spans="1:9" x14ac:dyDescent="0.35">
      <c r="A47" s="1" t="s">
        <v>47</v>
      </c>
      <c r="B47" s="1" t="s">
        <v>62</v>
      </c>
      <c r="C47" s="1" t="s">
        <v>53</v>
      </c>
      <c r="D47" s="1">
        <v>18490</v>
      </c>
      <c r="E47" s="10">
        <v>45401</v>
      </c>
      <c r="F47" s="1" t="s">
        <v>156</v>
      </c>
      <c r="G47" s="1">
        <v>14200</v>
      </c>
      <c r="H47" s="1">
        <v>4290</v>
      </c>
      <c r="I47" s="13">
        <v>0.23201730665224446</v>
      </c>
    </row>
    <row r="48" spans="1:9" x14ac:dyDescent="0.35">
      <c r="A48" s="1" t="s">
        <v>48</v>
      </c>
      <c r="B48" s="1" t="s">
        <v>63</v>
      </c>
      <c r="C48" s="1" t="s">
        <v>53</v>
      </c>
      <c r="D48" s="1">
        <v>12600</v>
      </c>
      <c r="E48" s="10">
        <v>45408</v>
      </c>
      <c r="F48" s="1" t="s">
        <v>156</v>
      </c>
      <c r="G48" s="1">
        <v>9700</v>
      </c>
      <c r="H48" s="1">
        <v>2900</v>
      </c>
      <c r="I48" s="13">
        <v>0.23015873015873015</v>
      </c>
    </row>
    <row r="49" spans="1:9" x14ac:dyDescent="0.35">
      <c r="A49" s="1" t="s">
        <v>49</v>
      </c>
      <c r="B49" s="1" t="s">
        <v>58</v>
      </c>
      <c r="C49" s="1" t="s">
        <v>57</v>
      </c>
      <c r="D49" s="1">
        <v>16890</v>
      </c>
      <c r="E49" s="10">
        <v>45415</v>
      </c>
      <c r="F49" s="1" t="s">
        <v>157</v>
      </c>
      <c r="G49" s="1">
        <v>12900</v>
      </c>
      <c r="H49" s="1">
        <v>3990</v>
      </c>
      <c r="I49" s="13">
        <v>0.23623445825932504</v>
      </c>
    </row>
    <row r="50" spans="1:9" x14ac:dyDescent="0.35">
      <c r="A50" s="1" t="s">
        <v>50</v>
      </c>
      <c r="B50" s="1" t="s">
        <v>59</v>
      </c>
      <c r="C50" s="1" t="s">
        <v>53</v>
      </c>
      <c r="D50" s="1">
        <v>19120</v>
      </c>
      <c r="E50" s="10">
        <v>45422</v>
      </c>
      <c r="F50" s="1" t="s">
        <v>157</v>
      </c>
      <c r="G50" s="1">
        <v>14600</v>
      </c>
      <c r="H50" s="1">
        <v>4520</v>
      </c>
      <c r="I50" s="13">
        <v>0.23640167364016737</v>
      </c>
    </row>
    <row r="51" spans="1:9" x14ac:dyDescent="0.35">
      <c r="A51" s="1" t="s">
        <v>51</v>
      </c>
      <c r="B51" s="1" t="s">
        <v>59</v>
      </c>
      <c r="C51" s="1" t="s">
        <v>52</v>
      </c>
      <c r="D51" s="1">
        <v>15500</v>
      </c>
      <c r="E51" s="10">
        <v>45429</v>
      </c>
      <c r="F51" s="1" t="s">
        <v>157</v>
      </c>
      <c r="G51" s="1">
        <v>11900</v>
      </c>
      <c r="H51" s="1">
        <v>3600</v>
      </c>
      <c r="I51" s="13">
        <v>0.23225806451612904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404DD-61A2-4126-AC27-ABE9598519C7}">
  <dimension ref="A1:H6"/>
  <sheetViews>
    <sheetView workbookViewId="0">
      <selection activeCell="I9" sqref="I9"/>
    </sheetView>
  </sheetViews>
  <sheetFormatPr defaultRowHeight="14.5" x14ac:dyDescent="0.35"/>
  <cols>
    <col min="1" max="1" width="21.75" bestFit="1" customWidth="1"/>
  </cols>
  <sheetData>
    <row r="1" spans="1:8" x14ac:dyDescent="0.35">
      <c r="A1" t="s">
        <v>164</v>
      </c>
      <c r="B1" t="s">
        <v>165</v>
      </c>
      <c r="C1" t="s">
        <v>166</v>
      </c>
      <c r="D1" t="s">
        <v>168</v>
      </c>
      <c r="E1" t="s">
        <v>144</v>
      </c>
      <c r="G1" t="s">
        <v>158</v>
      </c>
      <c r="H1" t="s">
        <v>174</v>
      </c>
    </row>
    <row r="2" spans="1:8" x14ac:dyDescent="0.35">
      <c r="A2">
        <v>120</v>
      </c>
      <c r="B2">
        <v>140</v>
      </c>
      <c r="C2">
        <v>135</v>
      </c>
      <c r="D2">
        <v>150</v>
      </c>
      <c r="E2">
        <v>160</v>
      </c>
      <c r="G2" t="s">
        <v>164</v>
      </c>
      <c r="H2">
        <v>120</v>
      </c>
    </row>
    <row r="3" spans="1:8" x14ac:dyDescent="0.35">
      <c r="G3" t="s">
        <v>165</v>
      </c>
      <c r="H3">
        <v>140</v>
      </c>
    </row>
    <row r="4" spans="1:8" x14ac:dyDescent="0.35">
      <c r="G4" t="s">
        <v>166</v>
      </c>
      <c r="H4">
        <v>135</v>
      </c>
    </row>
    <row r="5" spans="1:8" x14ac:dyDescent="0.35">
      <c r="G5" t="s">
        <v>168</v>
      </c>
      <c r="H5">
        <v>150</v>
      </c>
    </row>
    <row r="6" spans="1:8" x14ac:dyDescent="0.35">
      <c r="G6" t="s">
        <v>144</v>
      </c>
      <c r="H6">
        <v>160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3F955147-12F0-4531-9331-9932902E96D9}">
          <x14:colorSeries rgb="FF376092"/>
          <x14:colorNegative rgb="FFD00000"/>
          <x14:colorAxis rgb="FF000000"/>
          <x14:colorMarkers rgb="FFD00000"/>
          <x14:colorFirst rgb="FFD00000"/>
          <x14:colorLast rgb="FFD00000"/>
          <x14:colorHigh rgb="FFD00000"/>
          <x14:colorLow rgb="FFD00000"/>
          <x14:sparklines>
            <x14:sparkline>
              <xm:f>sparklines!G1:G1</xm:f>
              <xm:sqref>H1</xm:sqref>
            </x14:sparkline>
            <x14:sparkline>
              <xm:f>sparklines!G2:G2</xm:f>
              <xm:sqref>H2</xm:sqref>
            </x14:sparkline>
            <x14:sparkline>
              <xm:f>sparklines!G3:G3</xm:f>
              <xm:sqref>H3</xm:sqref>
            </x14:sparkline>
            <x14:sparkline>
              <xm:f>sparklines!G4:G4</xm:f>
              <xm:sqref>H4</xm:sqref>
            </x14:sparkline>
            <x14:sparkline>
              <xm:f>sparklines!G5:G5</xm:f>
              <xm:sqref>H5</xm:sqref>
            </x14:sparkline>
            <x14:sparkline>
              <xm:f>sparklines!G6:G6</xm:f>
              <xm:sqref>H6</xm:sqref>
            </x14:sparkline>
          </x14:sparklines>
        </x14:sparklineGroup>
        <x14:sparklineGroup displayEmptyCellsAs="gap" xr2:uid="{D4F5FBC5-80E6-4D91-BCFE-E5B6F461C9BE}">
          <x14:colorSeries rgb="FF376092"/>
          <x14:colorNegative rgb="FFD00000"/>
          <x14:colorAxis rgb="FF000000"/>
          <x14:colorMarkers rgb="FFD00000"/>
          <x14:colorFirst rgb="FFD00000"/>
          <x14:colorLast rgb="FFD00000"/>
          <x14:colorHigh rgb="FFD00000"/>
          <x14:colorLow rgb="FFD00000"/>
          <x14:sparklines>
            <x14:sparkline>
              <xm:f>sparklines!I2:I2</xm:f>
              <xm:sqref>D9</xm:sqref>
            </x14:sparkline>
          </x14:sparklines>
        </x14:sparklineGroup>
        <x14:sparklineGroup displayEmptyCellsAs="gap" xr2:uid="{4E74941F-6169-4629-802E-1E12E0E0446B}">
          <x14:colorSeries rgb="FF376092"/>
          <x14:colorNegative rgb="FFD00000"/>
          <x14:colorAxis rgb="FF000000"/>
          <x14:colorMarkers rgb="FFD00000"/>
          <x14:colorFirst rgb="FFD00000"/>
          <x14:colorLast rgb="FFD00000"/>
          <x14:colorHigh rgb="FFD00000"/>
          <x14:colorLow rgb="FFD00000"/>
          <x14:sparklines>
            <x14:sparkline>
              <xm:f>sparklines!H2:H6</xm:f>
              <xm:sqref>I2</xm:sqref>
            </x14:sparkline>
            <x14:sparkline>
              <xm:f>sparklines!H3:H7</xm:f>
              <xm:sqref>I3</xm:sqref>
            </x14:sparkline>
            <x14:sparkline>
              <xm:f>sparklines!H4:H8</xm:f>
              <xm:sqref>I4</xm:sqref>
            </x14:sparkline>
            <x14:sparkline>
              <xm:f>sparklines!H5:H9</xm:f>
              <xm:sqref>I5</xm:sqref>
            </x14:sparkline>
            <x14:sparkline>
              <xm:f>sparklines!H6:H10</xm:f>
              <xm:sqref>I6</xm:sqref>
            </x14:sparkline>
          </x14:sparklines>
        </x14:sparklineGroup>
        <x14:sparklineGroup type="column" displayEmptyCellsAs="gap" xr2:uid="{DED126CC-6C32-4C58-8CC4-5D441C3B533E}">
          <x14:colorSeries rgb="FF376092"/>
          <x14:colorNegative rgb="FFD00000"/>
          <x14:colorAxis rgb="FF000000"/>
          <x14:colorMarkers rgb="FFD00000"/>
          <x14:colorFirst rgb="FFD00000"/>
          <x14:colorLast rgb="FFD00000"/>
          <x14:colorHigh rgb="FFD00000"/>
          <x14:colorLow rgb="FFD00000"/>
          <x14:sparklines>
            <x14:sparkline>
              <xm:f>sparklines!H2:H6</xm:f>
              <xm:sqref>J2</xm:sqref>
            </x14:sparkline>
            <x14:sparkline>
              <xm:f>sparklines!H3:H7</xm:f>
              <xm:sqref>J3</xm:sqref>
            </x14:sparkline>
            <x14:sparkline>
              <xm:f>sparklines!H4:H8</xm:f>
              <xm:sqref>J4</xm:sqref>
            </x14:sparkline>
            <x14:sparkline>
              <xm:f>sparklines!H5:H9</xm:f>
              <xm:sqref>J5</xm:sqref>
            </x14:sparkline>
            <x14:sparkline>
              <xm:f>sparklines!H6:H10</xm:f>
              <xm:sqref>J6</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50D5B-67BD-4DE1-BCE9-D441D271279D}">
  <dimension ref="A1:B7"/>
  <sheetViews>
    <sheetView zoomScale="190" zoomScaleNormal="190" workbookViewId="0">
      <selection activeCell="D7" sqref="D7"/>
    </sheetView>
  </sheetViews>
  <sheetFormatPr defaultRowHeight="14.5" x14ac:dyDescent="0.35"/>
  <cols>
    <col min="1" max="1" width="17.58203125" bestFit="1" customWidth="1"/>
  </cols>
  <sheetData>
    <row r="1" spans="1:2" x14ac:dyDescent="0.35">
      <c r="A1" t="s">
        <v>64</v>
      </c>
      <c r="B1" t="s">
        <v>84</v>
      </c>
    </row>
    <row r="2" spans="1:2" x14ac:dyDescent="0.35">
      <c r="A2" t="s">
        <v>72</v>
      </c>
      <c r="B2" t="s">
        <v>73</v>
      </c>
    </row>
    <row r="3" spans="1:2" x14ac:dyDescent="0.35">
      <c r="A3" t="s">
        <v>74</v>
      </c>
      <c r="B3" t="s">
        <v>75</v>
      </c>
    </row>
    <row r="4" spans="1:2" x14ac:dyDescent="0.35">
      <c r="A4" t="s">
        <v>76</v>
      </c>
      <c r="B4" t="s">
        <v>77</v>
      </c>
    </row>
    <row r="5" spans="1:2" x14ac:dyDescent="0.35">
      <c r="A5" t="s">
        <v>78</v>
      </c>
      <c r="B5" t="s">
        <v>79</v>
      </c>
    </row>
    <row r="6" spans="1:2" x14ac:dyDescent="0.35">
      <c r="A6" t="s">
        <v>80</v>
      </c>
      <c r="B6" t="s">
        <v>81</v>
      </c>
    </row>
    <row r="7" spans="1:2" x14ac:dyDescent="0.35">
      <c r="A7" t="s">
        <v>82</v>
      </c>
      <c r="B7" t="s">
        <v>83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6E1E6-1F9A-46E0-B6D7-FEBC1890D114}">
  <dimension ref="A1:B51"/>
  <sheetViews>
    <sheetView zoomScale="175" zoomScaleNormal="175" workbookViewId="0">
      <selection activeCell="B10" sqref="B10"/>
    </sheetView>
  </sheetViews>
  <sheetFormatPr defaultRowHeight="14.5" x14ac:dyDescent="0.35"/>
  <cols>
    <col min="1" max="1" width="10.5" customWidth="1"/>
    <col min="2" max="2" width="15.9140625" bestFit="1" customWidth="1"/>
  </cols>
  <sheetData>
    <row r="1" spans="1:2" x14ac:dyDescent="0.35">
      <c r="A1" t="s">
        <v>85</v>
      </c>
      <c r="B1" t="s">
        <v>86</v>
      </c>
    </row>
    <row r="2" spans="1:2" x14ac:dyDescent="0.35">
      <c r="A2" t="s">
        <v>87</v>
      </c>
      <c r="B2" t="s">
        <v>88</v>
      </c>
    </row>
    <row r="3" spans="1:2" x14ac:dyDescent="0.35">
      <c r="A3" t="s">
        <v>89</v>
      </c>
      <c r="B3" t="s">
        <v>90</v>
      </c>
    </row>
    <row r="4" spans="1:2" x14ac:dyDescent="0.35">
      <c r="A4" t="s">
        <v>91</v>
      </c>
      <c r="B4" t="s">
        <v>90</v>
      </c>
    </row>
    <row r="5" spans="1:2" x14ac:dyDescent="0.35">
      <c r="A5" t="s">
        <v>92</v>
      </c>
      <c r="B5" t="s">
        <v>93</v>
      </c>
    </row>
    <row r="6" spans="1:2" x14ac:dyDescent="0.35">
      <c r="A6" t="s">
        <v>94</v>
      </c>
      <c r="B6" t="s">
        <v>95</v>
      </c>
    </row>
    <row r="7" spans="1:2" x14ac:dyDescent="0.35">
      <c r="A7" t="s">
        <v>96</v>
      </c>
      <c r="B7" t="s">
        <v>97</v>
      </c>
    </row>
    <row r="8" spans="1:2" x14ac:dyDescent="0.35">
      <c r="A8" t="s">
        <v>98</v>
      </c>
      <c r="B8" t="s">
        <v>88</v>
      </c>
    </row>
    <row r="9" spans="1:2" x14ac:dyDescent="0.35">
      <c r="A9" t="s">
        <v>99</v>
      </c>
      <c r="B9" t="s">
        <v>90</v>
      </c>
    </row>
    <row r="10" spans="1:2" x14ac:dyDescent="0.35">
      <c r="A10" t="s">
        <v>100</v>
      </c>
      <c r="B10" t="s">
        <v>90</v>
      </c>
    </row>
    <row r="11" spans="1:2" x14ac:dyDescent="0.35">
      <c r="A11" t="s">
        <v>101</v>
      </c>
      <c r="B11" t="s">
        <v>93</v>
      </c>
    </row>
    <row r="12" spans="1:2" x14ac:dyDescent="0.35">
      <c r="A12" t="s">
        <v>102</v>
      </c>
      <c r="B12" t="s">
        <v>95</v>
      </c>
    </row>
    <row r="13" spans="1:2" x14ac:dyDescent="0.35">
      <c r="A13" t="s">
        <v>103</v>
      </c>
      <c r="B13" t="s">
        <v>97</v>
      </c>
    </row>
    <row r="14" spans="1:2" x14ac:dyDescent="0.35">
      <c r="A14" t="s">
        <v>104</v>
      </c>
      <c r="B14" t="s">
        <v>88</v>
      </c>
    </row>
    <row r="15" spans="1:2" x14ac:dyDescent="0.35">
      <c r="A15" t="s">
        <v>105</v>
      </c>
      <c r="B15" t="s">
        <v>90</v>
      </c>
    </row>
    <row r="16" spans="1:2" x14ac:dyDescent="0.35">
      <c r="A16" t="s">
        <v>106</v>
      </c>
      <c r="B16" t="s">
        <v>90</v>
      </c>
    </row>
    <row r="17" spans="1:2" x14ac:dyDescent="0.35">
      <c r="A17" t="s">
        <v>107</v>
      </c>
      <c r="B17" t="s">
        <v>93</v>
      </c>
    </row>
    <row r="18" spans="1:2" x14ac:dyDescent="0.35">
      <c r="A18" t="s">
        <v>108</v>
      </c>
      <c r="B18" t="s">
        <v>95</v>
      </c>
    </row>
    <row r="19" spans="1:2" x14ac:dyDescent="0.35">
      <c r="A19" t="s">
        <v>109</v>
      </c>
      <c r="B19" t="s">
        <v>97</v>
      </c>
    </row>
    <row r="20" spans="1:2" x14ac:dyDescent="0.35">
      <c r="A20" t="s">
        <v>110</v>
      </c>
      <c r="B20" t="s">
        <v>88</v>
      </c>
    </row>
    <row r="21" spans="1:2" x14ac:dyDescent="0.35">
      <c r="A21" t="s">
        <v>111</v>
      </c>
      <c r="B21" t="s">
        <v>90</v>
      </c>
    </row>
    <row r="22" spans="1:2" x14ac:dyDescent="0.35">
      <c r="A22" t="s">
        <v>112</v>
      </c>
      <c r="B22" t="s">
        <v>90</v>
      </c>
    </row>
    <row r="23" spans="1:2" x14ac:dyDescent="0.35">
      <c r="A23" t="s">
        <v>113</v>
      </c>
      <c r="B23" t="s">
        <v>93</v>
      </c>
    </row>
    <row r="24" spans="1:2" x14ac:dyDescent="0.35">
      <c r="A24" t="s">
        <v>114</v>
      </c>
      <c r="B24" t="s">
        <v>95</v>
      </c>
    </row>
    <row r="25" spans="1:2" x14ac:dyDescent="0.35">
      <c r="A25" t="s">
        <v>115</v>
      </c>
      <c r="B25" t="s">
        <v>97</v>
      </c>
    </row>
    <row r="26" spans="1:2" x14ac:dyDescent="0.35">
      <c r="A26" t="s">
        <v>116</v>
      </c>
      <c r="B26" t="s">
        <v>88</v>
      </c>
    </row>
    <row r="27" spans="1:2" x14ac:dyDescent="0.35">
      <c r="A27" t="s">
        <v>117</v>
      </c>
      <c r="B27" t="s">
        <v>90</v>
      </c>
    </row>
    <row r="28" spans="1:2" x14ac:dyDescent="0.35">
      <c r="A28" t="s">
        <v>118</v>
      </c>
      <c r="B28" t="s">
        <v>90</v>
      </c>
    </row>
    <row r="29" spans="1:2" x14ac:dyDescent="0.35">
      <c r="A29" t="s">
        <v>119</v>
      </c>
      <c r="B29" t="s">
        <v>93</v>
      </c>
    </row>
    <row r="30" spans="1:2" x14ac:dyDescent="0.35">
      <c r="A30" t="s">
        <v>120</v>
      </c>
      <c r="B30" t="s">
        <v>95</v>
      </c>
    </row>
    <row r="31" spans="1:2" x14ac:dyDescent="0.35">
      <c r="A31" t="s">
        <v>121</v>
      </c>
      <c r="B31" t="s">
        <v>97</v>
      </c>
    </row>
    <row r="32" spans="1:2" x14ac:dyDescent="0.35">
      <c r="A32" t="s">
        <v>122</v>
      </c>
      <c r="B32" t="s">
        <v>88</v>
      </c>
    </row>
    <row r="33" spans="1:2" x14ac:dyDescent="0.35">
      <c r="A33" t="s">
        <v>123</v>
      </c>
      <c r="B33" t="s">
        <v>90</v>
      </c>
    </row>
    <row r="34" spans="1:2" x14ac:dyDescent="0.35">
      <c r="A34" t="s">
        <v>124</v>
      </c>
      <c r="B34" t="s">
        <v>90</v>
      </c>
    </row>
    <row r="35" spans="1:2" x14ac:dyDescent="0.35">
      <c r="A35" t="s">
        <v>125</v>
      </c>
      <c r="B35" t="s">
        <v>93</v>
      </c>
    </row>
    <row r="36" spans="1:2" x14ac:dyDescent="0.35">
      <c r="A36" t="s">
        <v>126</v>
      </c>
      <c r="B36" t="s">
        <v>95</v>
      </c>
    </row>
    <row r="37" spans="1:2" x14ac:dyDescent="0.35">
      <c r="A37" t="s">
        <v>127</v>
      </c>
      <c r="B37" t="s">
        <v>97</v>
      </c>
    </row>
    <row r="38" spans="1:2" x14ac:dyDescent="0.35">
      <c r="A38" t="s">
        <v>128</v>
      </c>
      <c r="B38" t="s">
        <v>88</v>
      </c>
    </row>
    <row r="39" spans="1:2" x14ac:dyDescent="0.35">
      <c r="A39" t="s">
        <v>129</v>
      </c>
      <c r="B39" t="s">
        <v>90</v>
      </c>
    </row>
    <row r="40" spans="1:2" x14ac:dyDescent="0.35">
      <c r="A40" t="s">
        <v>130</v>
      </c>
      <c r="B40" t="s">
        <v>90</v>
      </c>
    </row>
    <row r="41" spans="1:2" x14ac:dyDescent="0.35">
      <c r="A41" t="s">
        <v>131</v>
      </c>
      <c r="B41" t="s">
        <v>93</v>
      </c>
    </row>
    <row r="42" spans="1:2" x14ac:dyDescent="0.35">
      <c r="A42" t="s">
        <v>132</v>
      </c>
      <c r="B42" t="s">
        <v>95</v>
      </c>
    </row>
    <row r="43" spans="1:2" x14ac:dyDescent="0.35">
      <c r="A43" t="s">
        <v>133</v>
      </c>
      <c r="B43" t="s">
        <v>97</v>
      </c>
    </row>
    <row r="44" spans="1:2" x14ac:dyDescent="0.35">
      <c r="A44" t="s">
        <v>134</v>
      </c>
      <c r="B44" t="s">
        <v>88</v>
      </c>
    </row>
    <row r="45" spans="1:2" x14ac:dyDescent="0.35">
      <c r="A45" t="s">
        <v>135</v>
      </c>
      <c r="B45" t="s">
        <v>90</v>
      </c>
    </row>
    <row r="46" spans="1:2" x14ac:dyDescent="0.35">
      <c r="A46" t="s">
        <v>136</v>
      </c>
      <c r="B46" t="s">
        <v>93</v>
      </c>
    </row>
    <row r="47" spans="1:2" x14ac:dyDescent="0.35">
      <c r="A47" t="s">
        <v>137</v>
      </c>
      <c r="B47" t="s">
        <v>95</v>
      </c>
    </row>
    <row r="48" spans="1:2" x14ac:dyDescent="0.35">
      <c r="A48" t="s">
        <v>138</v>
      </c>
      <c r="B48" t="s">
        <v>97</v>
      </c>
    </row>
    <row r="49" spans="1:2" x14ac:dyDescent="0.35">
      <c r="A49" t="s">
        <v>139</v>
      </c>
      <c r="B49" t="s">
        <v>88</v>
      </c>
    </row>
    <row r="50" spans="1:2" x14ac:dyDescent="0.35">
      <c r="A50" t="s">
        <v>140</v>
      </c>
      <c r="B50" t="s">
        <v>90</v>
      </c>
    </row>
    <row r="51" spans="1:2" x14ac:dyDescent="0.35">
      <c r="A51" t="s">
        <v>141</v>
      </c>
      <c r="B51" t="s">
        <v>90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A37FDF-59FD-4AE9-98D9-5880D7EB0A39}">
  <dimension ref="A3:B23"/>
  <sheetViews>
    <sheetView zoomScale="85" zoomScaleNormal="85" workbookViewId="0">
      <selection activeCell="C21" sqref="C21"/>
    </sheetView>
  </sheetViews>
  <sheetFormatPr defaultRowHeight="14.5" x14ac:dyDescent="0.35"/>
  <cols>
    <col min="1" max="1" width="12.6640625" bestFit="1" customWidth="1"/>
    <col min="2" max="2" width="13.75" bestFit="1" customWidth="1"/>
  </cols>
  <sheetData>
    <row r="3" spans="1:2" x14ac:dyDescent="0.35">
      <c r="A3" s="2" t="s">
        <v>143</v>
      </c>
      <c r="B3" t="s">
        <v>173</v>
      </c>
    </row>
    <row r="4" spans="1:2" x14ac:dyDescent="0.35">
      <c r="A4" s="3" t="s">
        <v>162</v>
      </c>
      <c r="B4" s="16">
        <v>7.0895483189123034</v>
      </c>
    </row>
    <row r="5" spans="1:2" x14ac:dyDescent="0.35">
      <c r="A5" s="14" t="s">
        <v>163</v>
      </c>
      <c r="B5" s="16">
        <v>3.0792880761045955</v>
      </c>
    </row>
    <row r="6" spans="1:2" x14ac:dyDescent="0.35">
      <c r="A6" s="15" t="s">
        <v>164</v>
      </c>
      <c r="B6" s="16">
        <v>0.93663833298629728</v>
      </c>
    </row>
    <row r="7" spans="1:2" x14ac:dyDescent="0.35">
      <c r="A7" s="15" t="s">
        <v>165</v>
      </c>
      <c r="B7" s="16">
        <v>0.95660019508835414</v>
      </c>
    </row>
    <row r="8" spans="1:2" x14ac:dyDescent="0.35">
      <c r="A8" s="15" t="s">
        <v>166</v>
      </c>
      <c r="B8" s="16">
        <v>1.1860495480299442</v>
      </c>
    </row>
    <row r="9" spans="1:2" x14ac:dyDescent="0.35">
      <c r="A9" s="14" t="s">
        <v>167</v>
      </c>
      <c r="B9" s="16">
        <v>3.0681296773461844</v>
      </c>
    </row>
    <row r="10" spans="1:2" x14ac:dyDescent="0.35">
      <c r="A10" s="15" t="s">
        <v>168</v>
      </c>
      <c r="B10" s="16">
        <v>0.94958750310115669</v>
      </c>
    </row>
    <row r="11" spans="1:2" x14ac:dyDescent="0.35">
      <c r="A11" s="15" t="s">
        <v>144</v>
      </c>
      <c r="B11" s="16">
        <v>1.1775694587487398</v>
      </c>
    </row>
    <row r="12" spans="1:2" x14ac:dyDescent="0.35">
      <c r="A12" s="15" t="s">
        <v>169</v>
      </c>
      <c r="B12" s="16">
        <v>0.94097271549628791</v>
      </c>
    </row>
    <row r="13" spans="1:2" x14ac:dyDescent="0.35">
      <c r="A13" s="14" t="s">
        <v>170</v>
      </c>
      <c r="B13" s="16">
        <v>0.94213056546152352</v>
      </c>
    </row>
    <row r="14" spans="1:2" x14ac:dyDescent="0.35">
      <c r="A14" s="15" t="s">
        <v>171</v>
      </c>
      <c r="B14" s="16">
        <v>0.94213056546152352</v>
      </c>
    </row>
    <row r="15" spans="1:2" x14ac:dyDescent="0.35">
      <c r="A15" s="3" t="s">
        <v>172</v>
      </c>
      <c r="B15" s="16">
        <v>4.6958310405063601</v>
      </c>
    </row>
    <row r="16" spans="1:2" x14ac:dyDescent="0.35">
      <c r="A16" s="14" t="s">
        <v>163</v>
      </c>
      <c r="B16" s="16">
        <v>3.0617628792143554</v>
      </c>
    </row>
    <row r="17" spans="1:2" x14ac:dyDescent="0.35">
      <c r="A17" s="15" t="s">
        <v>164</v>
      </c>
      <c r="B17" s="16">
        <v>0.94277672793763267</v>
      </c>
    </row>
    <row r="18" spans="1:2" x14ac:dyDescent="0.35">
      <c r="A18" s="15" t="s">
        <v>165</v>
      </c>
      <c r="B18" s="16">
        <v>0.94515594303313855</v>
      </c>
    </row>
    <row r="19" spans="1:2" x14ac:dyDescent="0.35">
      <c r="A19" s="15" t="s">
        <v>166</v>
      </c>
      <c r="B19" s="16">
        <v>1.1738302082435843</v>
      </c>
    </row>
    <row r="20" spans="1:2" x14ac:dyDescent="0.35">
      <c r="A20" s="14" t="s">
        <v>167</v>
      </c>
      <c r="B20" s="16">
        <v>1.6340681612920047</v>
      </c>
    </row>
    <row r="21" spans="1:2" x14ac:dyDescent="0.35">
      <c r="A21" s="15" t="s">
        <v>168</v>
      </c>
      <c r="B21" s="16">
        <v>0.92917396487638315</v>
      </c>
    </row>
    <row r="22" spans="1:2" x14ac:dyDescent="0.35">
      <c r="A22" s="15" t="s">
        <v>144</v>
      </c>
      <c r="B22" s="16">
        <v>0.70489419641562145</v>
      </c>
    </row>
    <row r="23" spans="1:2" x14ac:dyDescent="0.35">
      <c r="A23" s="3" t="s">
        <v>145</v>
      </c>
      <c r="B23" s="16">
        <v>11.785379359418664</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94D18-B429-4418-AFA9-6279E6482687}">
  <dimension ref="A1:G51"/>
  <sheetViews>
    <sheetView workbookViewId="0">
      <selection activeCell="D13" sqref="D13"/>
    </sheetView>
  </sheetViews>
  <sheetFormatPr defaultRowHeight="14.5" x14ac:dyDescent="0.35"/>
  <cols>
    <col min="1" max="1" width="9.25" bestFit="1" customWidth="1"/>
    <col min="2" max="2" width="8.25" bestFit="1" customWidth="1"/>
  </cols>
  <sheetData>
    <row r="1" spans="1:7" x14ac:dyDescent="0.35">
      <c r="A1" t="s">
        <v>226</v>
      </c>
      <c r="B1" t="s">
        <v>175</v>
      </c>
    </row>
    <row r="2" spans="1:7" x14ac:dyDescent="0.35">
      <c r="A2" s="17" t="s">
        <v>176</v>
      </c>
      <c r="B2" s="17">
        <v>452</v>
      </c>
    </row>
    <row r="3" spans="1:7" x14ac:dyDescent="0.35">
      <c r="A3" s="17" t="s">
        <v>177</v>
      </c>
      <c r="B3" s="17">
        <v>389</v>
      </c>
    </row>
    <row r="4" spans="1:7" x14ac:dyDescent="0.35">
      <c r="A4" s="17" t="s">
        <v>178</v>
      </c>
      <c r="B4" s="17">
        <v>421</v>
      </c>
    </row>
    <row r="5" spans="1:7" x14ac:dyDescent="0.35">
      <c r="A5" s="17" t="s">
        <v>179</v>
      </c>
      <c r="B5" s="17">
        <v>475</v>
      </c>
    </row>
    <row r="6" spans="1:7" x14ac:dyDescent="0.35">
      <c r="A6" s="17" t="s">
        <v>180</v>
      </c>
      <c r="B6" s="17">
        <v>398</v>
      </c>
      <c r="G6">
        <f>AVERAGE(Table2[Marks])</f>
        <v>432.44</v>
      </c>
    </row>
    <row r="7" spans="1:7" x14ac:dyDescent="0.35">
      <c r="A7" s="17" t="s">
        <v>181</v>
      </c>
      <c r="B7" s="17">
        <v>440</v>
      </c>
    </row>
    <row r="8" spans="1:7" x14ac:dyDescent="0.35">
      <c r="A8" s="17" t="s">
        <v>182</v>
      </c>
      <c r="B8" s="17">
        <v>367</v>
      </c>
    </row>
    <row r="9" spans="1:7" x14ac:dyDescent="0.35">
      <c r="A9" s="17" t="s">
        <v>183</v>
      </c>
      <c r="B9" s="17">
        <v>488</v>
      </c>
    </row>
    <row r="10" spans="1:7" x14ac:dyDescent="0.35">
      <c r="A10" s="17" t="s">
        <v>184</v>
      </c>
      <c r="B10" s="17">
        <v>412</v>
      </c>
    </row>
    <row r="11" spans="1:7" x14ac:dyDescent="0.35">
      <c r="A11" s="17" t="s">
        <v>185</v>
      </c>
      <c r="B11" s="17">
        <v>459</v>
      </c>
    </row>
    <row r="12" spans="1:7" x14ac:dyDescent="0.35">
      <c r="A12" s="17" t="s">
        <v>186</v>
      </c>
      <c r="B12" s="17">
        <v>430</v>
      </c>
    </row>
    <row r="13" spans="1:7" x14ac:dyDescent="0.35">
      <c r="A13" s="17" t="s">
        <v>187</v>
      </c>
      <c r="B13" s="17">
        <v>395</v>
      </c>
    </row>
    <row r="14" spans="1:7" x14ac:dyDescent="0.35">
      <c r="A14" s="17" t="s">
        <v>188</v>
      </c>
      <c r="B14" s="17">
        <v>446</v>
      </c>
    </row>
    <row r="15" spans="1:7" x14ac:dyDescent="0.35">
      <c r="A15" s="17" t="s">
        <v>189</v>
      </c>
      <c r="B15" s="17">
        <v>472</v>
      </c>
    </row>
    <row r="16" spans="1:7" x14ac:dyDescent="0.35">
      <c r="A16" s="17" t="s">
        <v>190</v>
      </c>
      <c r="B16" s="17">
        <v>381</v>
      </c>
    </row>
    <row r="17" spans="1:2" x14ac:dyDescent="0.35">
      <c r="A17" s="17" t="s">
        <v>191</v>
      </c>
      <c r="B17" s="17">
        <v>425</v>
      </c>
    </row>
    <row r="18" spans="1:2" x14ac:dyDescent="0.35">
      <c r="A18" s="17" t="s">
        <v>192</v>
      </c>
      <c r="B18" s="17">
        <v>460</v>
      </c>
    </row>
    <row r="19" spans="1:2" x14ac:dyDescent="0.35">
      <c r="A19" s="17" t="s">
        <v>193</v>
      </c>
      <c r="B19" s="17">
        <v>408</v>
      </c>
    </row>
    <row r="20" spans="1:2" x14ac:dyDescent="0.35">
      <c r="A20" s="17" t="s">
        <v>194</v>
      </c>
      <c r="B20" s="17">
        <v>437</v>
      </c>
    </row>
    <row r="21" spans="1:2" x14ac:dyDescent="0.35">
      <c r="A21" s="17" t="s">
        <v>195</v>
      </c>
      <c r="B21" s="17">
        <v>490</v>
      </c>
    </row>
    <row r="22" spans="1:2" x14ac:dyDescent="0.35">
      <c r="A22" s="17" t="s">
        <v>196</v>
      </c>
      <c r="B22" s="17">
        <v>399</v>
      </c>
    </row>
    <row r="23" spans="1:2" x14ac:dyDescent="0.35">
      <c r="A23" s="17" t="s">
        <v>197</v>
      </c>
      <c r="B23" s="17">
        <v>455</v>
      </c>
    </row>
    <row r="24" spans="1:2" x14ac:dyDescent="0.35">
      <c r="A24" s="17" t="s">
        <v>198</v>
      </c>
      <c r="B24" s="17">
        <v>470</v>
      </c>
    </row>
    <row r="25" spans="1:2" x14ac:dyDescent="0.35">
      <c r="A25" s="17" t="s">
        <v>199</v>
      </c>
      <c r="B25" s="17">
        <v>386</v>
      </c>
    </row>
    <row r="26" spans="1:2" x14ac:dyDescent="0.35">
      <c r="A26" s="17" t="s">
        <v>200</v>
      </c>
      <c r="B26" s="17">
        <v>482</v>
      </c>
    </row>
    <row r="27" spans="1:2" x14ac:dyDescent="0.35">
      <c r="A27" s="17" t="s">
        <v>201</v>
      </c>
      <c r="B27" s="17">
        <v>418</v>
      </c>
    </row>
    <row r="28" spans="1:2" x14ac:dyDescent="0.35">
      <c r="A28" s="17" t="s">
        <v>202</v>
      </c>
      <c r="B28" s="17">
        <v>468</v>
      </c>
    </row>
    <row r="29" spans="1:2" x14ac:dyDescent="0.35">
      <c r="A29" s="17" t="s">
        <v>203</v>
      </c>
      <c r="B29" s="17">
        <v>444</v>
      </c>
    </row>
    <row r="30" spans="1:2" x14ac:dyDescent="0.35">
      <c r="A30" s="17" t="s">
        <v>204</v>
      </c>
      <c r="B30" s="17">
        <v>402</v>
      </c>
    </row>
    <row r="31" spans="1:2" x14ac:dyDescent="0.35">
      <c r="A31" s="17" t="s">
        <v>205</v>
      </c>
      <c r="B31" s="17">
        <v>390</v>
      </c>
    </row>
    <row r="32" spans="1:2" x14ac:dyDescent="0.35">
      <c r="A32" s="17" t="s">
        <v>206</v>
      </c>
      <c r="B32" s="17">
        <v>476</v>
      </c>
    </row>
    <row r="33" spans="1:2" x14ac:dyDescent="0.35">
      <c r="A33" s="17" t="s">
        <v>207</v>
      </c>
      <c r="B33" s="17">
        <v>410</v>
      </c>
    </row>
    <row r="34" spans="1:2" x14ac:dyDescent="0.35">
      <c r="A34" s="17" t="s">
        <v>208</v>
      </c>
      <c r="B34" s="17">
        <v>448</v>
      </c>
    </row>
    <row r="35" spans="1:2" x14ac:dyDescent="0.35">
      <c r="A35" s="17" t="s">
        <v>209</v>
      </c>
      <c r="B35" s="17">
        <v>433</v>
      </c>
    </row>
    <row r="36" spans="1:2" x14ac:dyDescent="0.35">
      <c r="A36" s="17" t="s">
        <v>210</v>
      </c>
      <c r="B36" s="17">
        <v>465</v>
      </c>
    </row>
    <row r="37" spans="1:2" x14ac:dyDescent="0.35">
      <c r="A37" s="17" t="s">
        <v>211</v>
      </c>
      <c r="B37" s="17">
        <v>485</v>
      </c>
    </row>
    <row r="38" spans="1:2" x14ac:dyDescent="0.35">
      <c r="A38" s="17" t="s">
        <v>212</v>
      </c>
      <c r="B38" s="17">
        <v>372</v>
      </c>
    </row>
    <row r="39" spans="1:2" x14ac:dyDescent="0.35">
      <c r="A39" s="17" t="s">
        <v>213</v>
      </c>
      <c r="B39" s="17">
        <v>458</v>
      </c>
    </row>
    <row r="40" spans="1:2" x14ac:dyDescent="0.35">
      <c r="A40" s="17" t="s">
        <v>214</v>
      </c>
      <c r="B40" s="17">
        <v>420</v>
      </c>
    </row>
    <row r="41" spans="1:2" x14ac:dyDescent="0.35">
      <c r="A41" s="17" t="s">
        <v>215</v>
      </c>
      <c r="B41" s="17">
        <v>435</v>
      </c>
    </row>
    <row r="42" spans="1:2" x14ac:dyDescent="0.35">
      <c r="A42" s="17" t="s">
        <v>216</v>
      </c>
      <c r="B42" s="17">
        <v>388</v>
      </c>
    </row>
    <row r="43" spans="1:2" x14ac:dyDescent="0.35">
      <c r="A43" s="17" t="s">
        <v>217</v>
      </c>
      <c r="B43" s="17">
        <v>447</v>
      </c>
    </row>
    <row r="44" spans="1:2" x14ac:dyDescent="0.35">
      <c r="A44" s="17" t="s">
        <v>218</v>
      </c>
      <c r="B44" s="17">
        <v>392</v>
      </c>
    </row>
    <row r="45" spans="1:2" x14ac:dyDescent="0.35">
      <c r="A45" s="17" t="s">
        <v>219</v>
      </c>
      <c r="B45" s="17">
        <v>480</v>
      </c>
    </row>
    <row r="46" spans="1:2" x14ac:dyDescent="0.35">
      <c r="A46" s="17" t="s">
        <v>220</v>
      </c>
      <c r="B46" s="17">
        <v>405</v>
      </c>
    </row>
    <row r="47" spans="1:2" x14ac:dyDescent="0.35">
      <c r="A47" s="17" t="s">
        <v>221</v>
      </c>
      <c r="B47" s="17">
        <v>416</v>
      </c>
    </row>
    <row r="48" spans="1:2" x14ac:dyDescent="0.35">
      <c r="A48" s="17" t="s">
        <v>222</v>
      </c>
      <c r="B48" s="17">
        <v>428</v>
      </c>
    </row>
    <row r="49" spans="1:2" x14ac:dyDescent="0.35">
      <c r="A49" s="17" t="s">
        <v>223</v>
      </c>
      <c r="B49" s="17">
        <v>462</v>
      </c>
    </row>
    <row r="50" spans="1:2" x14ac:dyDescent="0.35">
      <c r="A50" s="17" t="s">
        <v>224</v>
      </c>
      <c r="B50" s="17">
        <v>374</v>
      </c>
    </row>
    <row r="51" spans="1:2" x14ac:dyDescent="0.35">
      <c r="A51" s="17" t="s">
        <v>225</v>
      </c>
      <c r="B51" s="17">
        <v>469</v>
      </c>
    </row>
  </sheetData>
  <conditionalFormatting sqref="B1:B1048576">
    <cfRule type="aboveAverage" dxfId="1" priority="1"/>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CCA3D-159A-4DAA-BD5E-0F4B861EEEB7}">
  <dimension ref="A1:B17"/>
  <sheetViews>
    <sheetView workbookViewId="0">
      <selection activeCell="E19" sqref="E19"/>
    </sheetView>
  </sheetViews>
  <sheetFormatPr defaultRowHeight="14.5" x14ac:dyDescent="0.35"/>
  <sheetData>
    <row r="1" spans="1:2" x14ac:dyDescent="0.35">
      <c r="A1" t="s">
        <v>227</v>
      </c>
      <c r="B1" t="s">
        <v>228</v>
      </c>
    </row>
    <row r="2" spans="1:2" x14ac:dyDescent="0.35">
      <c r="A2" t="s">
        <v>164</v>
      </c>
      <c r="B2">
        <v>120</v>
      </c>
    </row>
    <row r="3" spans="1:2" x14ac:dyDescent="0.35">
      <c r="A3" t="s">
        <v>165</v>
      </c>
      <c r="B3">
        <v>140</v>
      </c>
    </row>
    <row r="4" spans="1:2" x14ac:dyDescent="0.35">
      <c r="A4" t="s">
        <v>166</v>
      </c>
      <c r="B4">
        <v>135</v>
      </c>
    </row>
    <row r="5" spans="1:2" x14ac:dyDescent="0.35">
      <c r="A5" t="s">
        <v>168</v>
      </c>
      <c r="B5">
        <v>150</v>
      </c>
    </row>
    <row r="6" spans="1:2" x14ac:dyDescent="0.35">
      <c r="A6" t="s">
        <v>144</v>
      </c>
      <c r="B6">
        <v>160</v>
      </c>
    </row>
    <row r="7" spans="1:2" x14ac:dyDescent="0.35">
      <c r="A7" t="s">
        <v>169</v>
      </c>
      <c r="B7">
        <v>155</v>
      </c>
    </row>
    <row r="8" spans="1:2" x14ac:dyDescent="0.35">
      <c r="A8" t="s">
        <v>171</v>
      </c>
      <c r="B8">
        <v>170</v>
      </c>
    </row>
    <row r="9" spans="1:2" x14ac:dyDescent="0.35">
      <c r="A9" t="s">
        <v>229</v>
      </c>
      <c r="B9">
        <v>165</v>
      </c>
    </row>
    <row r="10" spans="1:2" x14ac:dyDescent="0.35">
      <c r="A10" t="s">
        <v>230</v>
      </c>
      <c r="B10">
        <v>180</v>
      </c>
    </row>
    <row r="11" spans="1:2" x14ac:dyDescent="0.35">
      <c r="A11" t="s">
        <v>231</v>
      </c>
      <c r="B11">
        <v>175</v>
      </c>
    </row>
    <row r="12" spans="1:2" x14ac:dyDescent="0.35">
      <c r="A12" t="s">
        <v>232</v>
      </c>
      <c r="B12">
        <v>190</v>
      </c>
    </row>
    <row r="13" spans="1:2" x14ac:dyDescent="0.35">
      <c r="A13" t="s">
        <v>233</v>
      </c>
      <c r="B13">
        <v>200</v>
      </c>
    </row>
    <row r="14" spans="1:2" x14ac:dyDescent="0.35">
      <c r="A14" t="s">
        <v>234</v>
      </c>
      <c r="B14">
        <v>500</v>
      </c>
    </row>
    <row r="15" spans="1:2" x14ac:dyDescent="0.35">
      <c r="A15" t="s">
        <v>235</v>
      </c>
      <c r="B15">
        <v>24</v>
      </c>
    </row>
    <row r="16" spans="1:2" x14ac:dyDescent="0.35">
      <c r="A16" t="s">
        <v>234</v>
      </c>
      <c r="B16">
        <v>200</v>
      </c>
    </row>
    <row r="17" spans="1:2" x14ac:dyDescent="0.35">
      <c r="A17" t="s">
        <v>249</v>
      </c>
      <c r="B17">
        <v>100</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31445-38D3-4011-ADF4-4AE0022E2ACF}">
  <dimension ref="A1:L45"/>
  <sheetViews>
    <sheetView topLeftCell="F44" workbookViewId="0">
      <selection sqref="A1:L45"/>
    </sheetView>
  </sheetViews>
  <sheetFormatPr defaultRowHeight="14.5" x14ac:dyDescent="0.35"/>
  <cols>
    <col min="1" max="1" width="8.08203125" bestFit="1" customWidth="1"/>
    <col min="2" max="2" width="20" bestFit="1" customWidth="1"/>
    <col min="4" max="4" width="10.6640625" bestFit="1" customWidth="1"/>
    <col min="5" max="5" width="8.9140625" bestFit="1" customWidth="1"/>
    <col min="6" max="6" width="10.83203125" bestFit="1" customWidth="1"/>
    <col min="7" max="7" width="9.33203125" bestFit="1" customWidth="1"/>
    <col min="8" max="8" width="11.58203125" bestFit="1" customWidth="1"/>
    <col min="9" max="9" width="8.83203125" bestFit="1" customWidth="1"/>
    <col min="10" max="10" width="11.9140625" bestFit="1" customWidth="1"/>
    <col min="11" max="11" width="23.4140625" bestFit="1" customWidth="1"/>
    <col min="12" max="12" width="21.25" bestFit="1" customWidth="1"/>
  </cols>
  <sheetData>
    <row r="1" spans="1:12" x14ac:dyDescent="0.35">
      <c r="A1" t="s">
        <v>236</v>
      </c>
      <c r="B1" t="s">
        <v>237</v>
      </c>
      <c r="C1" t="s">
        <v>164</v>
      </c>
      <c r="D1" t="s">
        <v>238</v>
      </c>
      <c r="E1" t="s">
        <v>235</v>
      </c>
      <c r="F1" t="s">
        <v>239</v>
      </c>
      <c r="G1" t="s">
        <v>249</v>
      </c>
      <c r="H1" t="s">
        <v>250</v>
      </c>
      <c r="I1" t="s">
        <v>251</v>
      </c>
      <c r="J1" t="s">
        <v>252</v>
      </c>
      <c r="K1" t="s">
        <v>269</v>
      </c>
      <c r="L1" t="s">
        <v>270</v>
      </c>
    </row>
    <row r="2" spans="1:12" x14ac:dyDescent="0.35">
      <c r="A2">
        <v>1</v>
      </c>
      <c r="B2" t="s">
        <v>240</v>
      </c>
      <c r="C2" t="s">
        <v>241</v>
      </c>
      <c r="D2">
        <v>12000</v>
      </c>
      <c r="E2" t="s">
        <v>242</v>
      </c>
      <c r="F2">
        <v>13500</v>
      </c>
      <c r="G2">
        <v>0</v>
      </c>
      <c r="H2">
        <v>0</v>
      </c>
      <c r="I2">
        <v>0</v>
      </c>
      <c r="J2">
        <v>0</v>
      </c>
      <c r="K2">
        <v>0</v>
      </c>
      <c r="L2" t="s">
        <v>52</v>
      </c>
    </row>
    <row r="3" spans="1:12" x14ac:dyDescent="0.35">
      <c r="A3">
        <v>2</v>
      </c>
      <c r="B3" t="s">
        <v>243</v>
      </c>
      <c r="C3" t="s">
        <v>241</v>
      </c>
      <c r="D3">
        <v>800</v>
      </c>
      <c r="E3" t="s">
        <v>242</v>
      </c>
      <c r="F3">
        <v>900</v>
      </c>
      <c r="G3">
        <v>0</v>
      </c>
      <c r="H3">
        <v>0</v>
      </c>
      <c r="I3">
        <v>0</v>
      </c>
      <c r="J3">
        <v>0</v>
      </c>
      <c r="K3">
        <v>3500</v>
      </c>
      <c r="L3" t="s">
        <v>53</v>
      </c>
    </row>
    <row r="4" spans="1:12" x14ac:dyDescent="0.35">
      <c r="A4">
        <v>5</v>
      </c>
      <c r="B4" t="s">
        <v>244</v>
      </c>
      <c r="C4" t="s">
        <v>241</v>
      </c>
      <c r="D4">
        <v>1200</v>
      </c>
      <c r="E4" t="s">
        <v>242</v>
      </c>
      <c r="F4">
        <v>1300</v>
      </c>
      <c r="G4">
        <v>0</v>
      </c>
      <c r="H4">
        <v>0</v>
      </c>
      <c r="I4">
        <v>0</v>
      </c>
      <c r="J4">
        <v>0</v>
      </c>
      <c r="K4">
        <v>0</v>
      </c>
      <c r="L4" t="s">
        <v>267</v>
      </c>
    </row>
    <row r="5" spans="1:12" x14ac:dyDescent="0.35">
      <c r="A5">
        <v>7</v>
      </c>
      <c r="B5" t="s">
        <v>245</v>
      </c>
      <c r="C5" t="s">
        <v>241</v>
      </c>
      <c r="D5">
        <v>1100</v>
      </c>
      <c r="E5" t="s">
        <v>242</v>
      </c>
      <c r="F5">
        <v>1150</v>
      </c>
      <c r="G5">
        <v>0</v>
      </c>
      <c r="H5">
        <v>0</v>
      </c>
      <c r="I5">
        <v>0</v>
      </c>
      <c r="J5">
        <v>0</v>
      </c>
      <c r="K5">
        <v>0</v>
      </c>
      <c r="L5" t="s">
        <v>53</v>
      </c>
    </row>
    <row r="6" spans="1:12" x14ac:dyDescent="0.35">
      <c r="A6">
        <v>8</v>
      </c>
      <c r="B6" t="s">
        <v>246</v>
      </c>
      <c r="C6" t="s">
        <v>241</v>
      </c>
      <c r="D6">
        <v>2500</v>
      </c>
      <c r="E6" t="s">
        <v>242</v>
      </c>
      <c r="F6">
        <v>2700</v>
      </c>
      <c r="G6">
        <v>0</v>
      </c>
      <c r="H6">
        <v>0</v>
      </c>
      <c r="I6">
        <v>0</v>
      </c>
      <c r="J6">
        <v>0</v>
      </c>
      <c r="K6">
        <v>3500</v>
      </c>
      <c r="L6" t="s">
        <v>54</v>
      </c>
    </row>
    <row r="7" spans="1:12" x14ac:dyDescent="0.35">
      <c r="A7">
        <v>9</v>
      </c>
      <c r="B7" t="s">
        <v>247</v>
      </c>
      <c r="C7" t="s">
        <v>241</v>
      </c>
      <c r="D7">
        <v>18000</v>
      </c>
      <c r="E7" t="s">
        <v>242</v>
      </c>
      <c r="F7">
        <v>19000</v>
      </c>
      <c r="G7">
        <v>0</v>
      </c>
      <c r="H7">
        <v>0</v>
      </c>
      <c r="I7">
        <v>0</v>
      </c>
      <c r="J7">
        <v>0</v>
      </c>
      <c r="K7">
        <v>0</v>
      </c>
      <c r="L7" t="s">
        <v>55</v>
      </c>
    </row>
    <row r="8" spans="1:12" x14ac:dyDescent="0.35">
      <c r="A8">
        <v>10</v>
      </c>
      <c r="B8" t="s">
        <v>248</v>
      </c>
      <c r="C8" t="s">
        <v>241</v>
      </c>
      <c r="D8">
        <v>5000</v>
      </c>
      <c r="E8" t="s">
        <v>242</v>
      </c>
      <c r="F8">
        <v>5200</v>
      </c>
      <c r="G8">
        <v>0</v>
      </c>
      <c r="H8">
        <v>0</v>
      </c>
      <c r="I8">
        <v>0</v>
      </c>
      <c r="J8">
        <v>0</v>
      </c>
      <c r="K8">
        <v>0</v>
      </c>
      <c r="L8" t="s">
        <v>52</v>
      </c>
    </row>
    <row r="9" spans="1:12" x14ac:dyDescent="0.35">
      <c r="A9">
        <v>11</v>
      </c>
      <c r="B9" t="s">
        <v>240</v>
      </c>
      <c r="C9" t="s">
        <v>241</v>
      </c>
      <c r="D9">
        <v>12000</v>
      </c>
      <c r="E9" t="s">
        <v>242</v>
      </c>
      <c r="F9">
        <v>13500</v>
      </c>
      <c r="G9">
        <v>0</v>
      </c>
      <c r="H9">
        <v>0</v>
      </c>
      <c r="I9">
        <v>0</v>
      </c>
      <c r="J9">
        <v>0</v>
      </c>
      <c r="K9">
        <v>0</v>
      </c>
      <c r="L9" t="s">
        <v>271</v>
      </c>
    </row>
    <row r="10" spans="1:12" x14ac:dyDescent="0.35">
      <c r="A10">
        <v>12</v>
      </c>
      <c r="B10" t="s">
        <v>243</v>
      </c>
      <c r="C10" t="s">
        <v>241</v>
      </c>
      <c r="D10">
        <v>800</v>
      </c>
      <c r="E10" t="s">
        <v>242</v>
      </c>
      <c r="F10">
        <v>900</v>
      </c>
      <c r="G10">
        <v>0</v>
      </c>
      <c r="H10">
        <v>0</v>
      </c>
      <c r="I10">
        <v>0</v>
      </c>
      <c r="J10">
        <v>0</v>
      </c>
      <c r="K10">
        <v>0</v>
      </c>
      <c r="L10" t="s">
        <v>271</v>
      </c>
    </row>
    <row r="11" spans="1:12" x14ac:dyDescent="0.35">
      <c r="A11">
        <v>15</v>
      </c>
      <c r="B11" t="s">
        <v>244</v>
      </c>
      <c r="C11" t="s">
        <v>241</v>
      </c>
      <c r="D11">
        <v>1200</v>
      </c>
      <c r="E11" t="s">
        <v>242</v>
      </c>
      <c r="F11">
        <v>1300</v>
      </c>
      <c r="G11">
        <v>0</v>
      </c>
      <c r="H11">
        <v>0</v>
      </c>
      <c r="I11">
        <v>0</v>
      </c>
      <c r="J11">
        <v>0</v>
      </c>
      <c r="K11">
        <v>0</v>
      </c>
      <c r="L11" t="s">
        <v>271</v>
      </c>
    </row>
    <row r="12" spans="1:12" x14ac:dyDescent="0.35">
      <c r="A12">
        <v>17</v>
      </c>
      <c r="B12" t="s">
        <v>245</v>
      </c>
      <c r="C12" t="s">
        <v>241</v>
      </c>
      <c r="D12">
        <v>1100</v>
      </c>
      <c r="E12" t="s">
        <v>242</v>
      </c>
      <c r="F12">
        <v>1150</v>
      </c>
      <c r="G12">
        <v>0</v>
      </c>
      <c r="H12">
        <v>0</v>
      </c>
      <c r="I12">
        <v>0</v>
      </c>
      <c r="J12">
        <v>0</v>
      </c>
      <c r="K12">
        <v>0</v>
      </c>
      <c r="L12" t="s">
        <v>271</v>
      </c>
    </row>
    <row r="13" spans="1:12" x14ac:dyDescent="0.35">
      <c r="A13">
        <v>18</v>
      </c>
      <c r="B13" t="s">
        <v>246</v>
      </c>
      <c r="C13" t="s">
        <v>241</v>
      </c>
      <c r="D13">
        <v>2500</v>
      </c>
      <c r="E13" t="s">
        <v>242</v>
      </c>
      <c r="F13">
        <v>2700</v>
      </c>
      <c r="G13">
        <v>0</v>
      </c>
      <c r="H13">
        <v>0</v>
      </c>
      <c r="I13">
        <v>0</v>
      </c>
      <c r="J13">
        <v>0</v>
      </c>
      <c r="K13">
        <v>0</v>
      </c>
      <c r="L13" t="s">
        <v>271</v>
      </c>
    </row>
    <row r="14" spans="1:12" x14ac:dyDescent="0.35">
      <c r="A14">
        <v>19</v>
      </c>
      <c r="B14" t="s">
        <v>247</v>
      </c>
      <c r="C14" t="s">
        <v>241</v>
      </c>
      <c r="D14">
        <v>18000</v>
      </c>
      <c r="E14" t="s">
        <v>242</v>
      </c>
      <c r="F14">
        <v>19000</v>
      </c>
      <c r="G14">
        <v>0</v>
      </c>
      <c r="H14">
        <v>0</v>
      </c>
      <c r="I14">
        <v>0</v>
      </c>
      <c r="J14">
        <v>0</v>
      </c>
      <c r="K14">
        <v>0</v>
      </c>
      <c r="L14" t="s">
        <v>271</v>
      </c>
    </row>
    <row r="15" spans="1:12" x14ac:dyDescent="0.35">
      <c r="A15">
        <v>20</v>
      </c>
      <c r="B15" t="s">
        <v>248</v>
      </c>
      <c r="C15" t="s">
        <v>241</v>
      </c>
      <c r="D15">
        <v>5000</v>
      </c>
      <c r="E15" t="s">
        <v>242</v>
      </c>
      <c r="F15">
        <v>5200</v>
      </c>
      <c r="G15">
        <v>0</v>
      </c>
      <c r="H15">
        <v>0</v>
      </c>
      <c r="I15">
        <v>0</v>
      </c>
      <c r="J15">
        <v>0</v>
      </c>
      <c r="K15">
        <v>0</v>
      </c>
      <c r="L15" t="s">
        <v>271</v>
      </c>
    </row>
    <row r="16" spans="1:12" x14ac:dyDescent="0.35">
      <c r="A16">
        <v>21</v>
      </c>
      <c r="B16" t="s">
        <v>240</v>
      </c>
      <c r="C16" t="s">
        <v>241</v>
      </c>
      <c r="D16">
        <v>12000</v>
      </c>
      <c r="E16" t="s">
        <v>242</v>
      </c>
      <c r="F16">
        <v>13500</v>
      </c>
      <c r="G16">
        <v>0</v>
      </c>
      <c r="H16">
        <v>0</v>
      </c>
      <c r="I16">
        <v>0</v>
      </c>
      <c r="J16">
        <v>0</v>
      </c>
      <c r="K16">
        <v>0</v>
      </c>
      <c r="L16" t="s">
        <v>271</v>
      </c>
    </row>
    <row r="17" spans="1:12" x14ac:dyDescent="0.35">
      <c r="A17">
        <v>22</v>
      </c>
      <c r="B17" t="s">
        <v>243</v>
      </c>
      <c r="C17" t="s">
        <v>241</v>
      </c>
      <c r="D17">
        <v>800</v>
      </c>
      <c r="E17" t="s">
        <v>242</v>
      </c>
      <c r="F17">
        <v>900</v>
      </c>
      <c r="G17">
        <v>0</v>
      </c>
      <c r="H17">
        <v>0</v>
      </c>
      <c r="I17">
        <v>0</v>
      </c>
      <c r="J17">
        <v>0</v>
      </c>
      <c r="K17">
        <v>0</v>
      </c>
      <c r="L17" t="s">
        <v>271</v>
      </c>
    </row>
    <row r="18" spans="1:12" x14ac:dyDescent="0.35">
      <c r="A18">
        <v>25</v>
      </c>
      <c r="B18" t="s">
        <v>244</v>
      </c>
      <c r="C18" t="s">
        <v>241</v>
      </c>
      <c r="D18">
        <v>1200</v>
      </c>
      <c r="E18" t="s">
        <v>242</v>
      </c>
      <c r="F18">
        <v>1300</v>
      </c>
      <c r="G18">
        <v>0</v>
      </c>
      <c r="H18">
        <v>0</v>
      </c>
      <c r="I18">
        <v>0</v>
      </c>
      <c r="J18">
        <v>0</v>
      </c>
      <c r="K18">
        <v>0</v>
      </c>
      <c r="L18" t="s">
        <v>271</v>
      </c>
    </row>
    <row r="19" spans="1:12" x14ac:dyDescent="0.35">
      <c r="A19">
        <v>27</v>
      </c>
      <c r="B19" t="s">
        <v>245</v>
      </c>
      <c r="C19" t="s">
        <v>241</v>
      </c>
      <c r="D19">
        <v>1100</v>
      </c>
      <c r="E19" t="s">
        <v>242</v>
      </c>
      <c r="F19">
        <v>1150</v>
      </c>
      <c r="G19">
        <v>0</v>
      </c>
      <c r="H19">
        <v>0</v>
      </c>
      <c r="I19">
        <v>0</v>
      </c>
      <c r="J19">
        <v>0</v>
      </c>
      <c r="K19">
        <v>0</v>
      </c>
      <c r="L19" t="s">
        <v>271</v>
      </c>
    </row>
    <row r="20" spans="1:12" x14ac:dyDescent="0.35">
      <c r="A20">
        <v>28</v>
      </c>
      <c r="B20" t="s">
        <v>246</v>
      </c>
      <c r="C20" t="s">
        <v>241</v>
      </c>
      <c r="D20">
        <v>2500</v>
      </c>
      <c r="E20" t="s">
        <v>242</v>
      </c>
      <c r="F20">
        <v>2700</v>
      </c>
      <c r="G20">
        <v>0</v>
      </c>
      <c r="H20">
        <v>0</v>
      </c>
      <c r="I20">
        <v>0</v>
      </c>
      <c r="J20">
        <v>0</v>
      </c>
      <c r="K20">
        <v>0</v>
      </c>
      <c r="L20" t="s">
        <v>271</v>
      </c>
    </row>
    <row r="21" spans="1:12" x14ac:dyDescent="0.35">
      <c r="A21">
        <v>29</v>
      </c>
      <c r="B21" t="s">
        <v>247</v>
      </c>
      <c r="C21" t="s">
        <v>241</v>
      </c>
      <c r="D21">
        <v>18000</v>
      </c>
      <c r="E21" t="s">
        <v>242</v>
      </c>
      <c r="F21">
        <v>19000</v>
      </c>
      <c r="G21">
        <v>0</v>
      </c>
      <c r="H21">
        <v>0</v>
      </c>
      <c r="I21">
        <v>0</v>
      </c>
      <c r="J21">
        <v>0</v>
      </c>
      <c r="K21">
        <v>0</v>
      </c>
      <c r="L21" t="s">
        <v>271</v>
      </c>
    </row>
    <row r="22" spans="1:12" x14ac:dyDescent="0.35">
      <c r="A22">
        <v>30</v>
      </c>
      <c r="B22" t="s">
        <v>248</v>
      </c>
      <c r="C22" t="s">
        <v>241</v>
      </c>
      <c r="D22">
        <v>5000</v>
      </c>
      <c r="E22" t="s">
        <v>242</v>
      </c>
      <c r="F22">
        <v>5200</v>
      </c>
      <c r="G22">
        <v>0</v>
      </c>
      <c r="H22">
        <v>0</v>
      </c>
      <c r="I22">
        <v>0</v>
      </c>
      <c r="J22">
        <v>0</v>
      </c>
      <c r="K22">
        <v>0</v>
      </c>
      <c r="L22" t="s">
        <v>271</v>
      </c>
    </row>
    <row r="23" spans="1:12" x14ac:dyDescent="0.35">
      <c r="A23">
        <v>31</v>
      </c>
      <c r="B23" t="s">
        <v>240</v>
      </c>
      <c r="C23" t="s">
        <v>241</v>
      </c>
      <c r="D23">
        <v>12000</v>
      </c>
      <c r="E23" t="s">
        <v>242</v>
      </c>
      <c r="F23">
        <v>13500</v>
      </c>
      <c r="G23">
        <v>0</v>
      </c>
      <c r="H23">
        <v>0</v>
      </c>
      <c r="I23">
        <v>0</v>
      </c>
      <c r="J23">
        <v>0</v>
      </c>
      <c r="K23">
        <v>0</v>
      </c>
      <c r="L23" t="s">
        <v>271</v>
      </c>
    </row>
    <row r="24" spans="1:12" x14ac:dyDescent="0.35">
      <c r="A24">
        <v>32</v>
      </c>
      <c r="B24" t="s">
        <v>243</v>
      </c>
      <c r="C24" t="s">
        <v>241</v>
      </c>
      <c r="D24">
        <v>800</v>
      </c>
      <c r="E24" t="s">
        <v>242</v>
      </c>
      <c r="F24">
        <v>900</v>
      </c>
      <c r="G24">
        <v>0</v>
      </c>
      <c r="H24">
        <v>0</v>
      </c>
      <c r="I24">
        <v>0</v>
      </c>
      <c r="J24">
        <v>0</v>
      </c>
      <c r="K24">
        <v>0</v>
      </c>
      <c r="L24" t="s">
        <v>271</v>
      </c>
    </row>
    <row r="25" spans="1:12" x14ac:dyDescent="0.35">
      <c r="A25">
        <v>35</v>
      </c>
      <c r="B25" t="s">
        <v>244</v>
      </c>
      <c r="C25" t="s">
        <v>241</v>
      </c>
      <c r="D25">
        <v>1200</v>
      </c>
      <c r="E25" t="s">
        <v>242</v>
      </c>
      <c r="F25">
        <v>1300</v>
      </c>
      <c r="G25">
        <v>0</v>
      </c>
      <c r="H25">
        <v>0</v>
      </c>
      <c r="I25">
        <v>0</v>
      </c>
      <c r="J25">
        <v>0</v>
      </c>
      <c r="K25">
        <v>0</v>
      </c>
      <c r="L25" t="s">
        <v>271</v>
      </c>
    </row>
    <row r="26" spans="1:12" x14ac:dyDescent="0.35">
      <c r="A26">
        <v>37</v>
      </c>
      <c r="B26" t="s">
        <v>245</v>
      </c>
      <c r="C26" t="s">
        <v>241</v>
      </c>
      <c r="D26">
        <v>1100</v>
      </c>
      <c r="E26" t="s">
        <v>242</v>
      </c>
      <c r="F26">
        <v>1150</v>
      </c>
      <c r="G26">
        <v>0</v>
      </c>
      <c r="H26">
        <v>0</v>
      </c>
      <c r="I26">
        <v>0</v>
      </c>
      <c r="J26">
        <v>0</v>
      </c>
      <c r="K26">
        <v>0</v>
      </c>
      <c r="L26" t="s">
        <v>271</v>
      </c>
    </row>
    <row r="27" spans="1:12" x14ac:dyDescent="0.35">
      <c r="A27">
        <v>38</v>
      </c>
      <c r="B27" t="s">
        <v>246</v>
      </c>
      <c r="C27" t="s">
        <v>241</v>
      </c>
      <c r="D27">
        <v>2500</v>
      </c>
      <c r="E27" t="s">
        <v>242</v>
      </c>
      <c r="F27">
        <v>2700</v>
      </c>
      <c r="G27">
        <v>0</v>
      </c>
      <c r="H27">
        <v>0</v>
      </c>
      <c r="I27">
        <v>0</v>
      </c>
      <c r="J27">
        <v>0</v>
      </c>
      <c r="K27">
        <v>0</v>
      </c>
      <c r="L27" t="s">
        <v>271</v>
      </c>
    </row>
    <row r="28" spans="1:12" x14ac:dyDescent="0.35">
      <c r="A28">
        <v>39</v>
      </c>
      <c r="B28" t="s">
        <v>247</v>
      </c>
      <c r="C28" t="s">
        <v>241</v>
      </c>
      <c r="D28">
        <v>18000</v>
      </c>
      <c r="E28" t="s">
        <v>242</v>
      </c>
      <c r="F28">
        <v>19000</v>
      </c>
      <c r="G28">
        <v>0</v>
      </c>
      <c r="H28">
        <v>0</v>
      </c>
      <c r="I28">
        <v>0</v>
      </c>
      <c r="J28">
        <v>0</v>
      </c>
      <c r="K28">
        <v>0</v>
      </c>
      <c r="L28" t="s">
        <v>271</v>
      </c>
    </row>
    <row r="29" spans="1:12" x14ac:dyDescent="0.35">
      <c r="A29">
        <v>40</v>
      </c>
      <c r="B29" t="s">
        <v>248</v>
      </c>
      <c r="C29" t="s">
        <v>241</v>
      </c>
      <c r="D29">
        <v>5000</v>
      </c>
      <c r="E29" t="s">
        <v>242</v>
      </c>
      <c r="F29">
        <v>5200</v>
      </c>
      <c r="G29">
        <v>0</v>
      </c>
      <c r="H29">
        <v>0</v>
      </c>
      <c r="I29">
        <v>0</v>
      </c>
      <c r="J29">
        <v>0</v>
      </c>
      <c r="K29">
        <v>0</v>
      </c>
      <c r="L29" t="s">
        <v>271</v>
      </c>
    </row>
    <row r="30" spans="1:12" x14ac:dyDescent="0.35">
      <c r="A30">
        <v>41</v>
      </c>
      <c r="B30" t="s">
        <v>240</v>
      </c>
      <c r="C30" t="s">
        <v>241</v>
      </c>
      <c r="D30">
        <v>12000</v>
      </c>
      <c r="E30" t="s">
        <v>242</v>
      </c>
      <c r="F30">
        <v>13500</v>
      </c>
      <c r="G30">
        <v>0</v>
      </c>
      <c r="H30">
        <v>0</v>
      </c>
      <c r="I30">
        <v>0</v>
      </c>
      <c r="J30">
        <v>0</v>
      </c>
      <c r="K30">
        <v>0</v>
      </c>
      <c r="L30" t="s">
        <v>271</v>
      </c>
    </row>
    <row r="31" spans="1:12" x14ac:dyDescent="0.35">
      <c r="A31">
        <v>42</v>
      </c>
      <c r="B31" t="s">
        <v>243</v>
      </c>
      <c r="C31" t="s">
        <v>241</v>
      </c>
      <c r="D31">
        <v>800</v>
      </c>
      <c r="E31" t="s">
        <v>242</v>
      </c>
      <c r="F31">
        <v>900</v>
      </c>
      <c r="G31">
        <v>0</v>
      </c>
      <c r="H31">
        <v>0</v>
      </c>
      <c r="I31">
        <v>0</v>
      </c>
      <c r="J31">
        <v>0</v>
      </c>
      <c r="K31">
        <v>0</v>
      </c>
      <c r="L31" t="s">
        <v>271</v>
      </c>
    </row>
    <row r="32" spans="1:12" x14ac:dyDescent="0.35">
      <c r="A32">
        <v>45</v>
      </c>
      <c r="B32" t="s">
        <v>244</v>
      </c>
      <c r="C32" t="s">
        <v>241</v>
      </c>
      <c r="D32">
        <v>1200</v>
      </c>
      <c r="E32" t="s">
        <v>242</v>
      </c>
      <c r="F32">
        <v>1300</v>
      </c>
      <c r="G32">
        <v>0</v>
      </c>
      <c r="H32">
        <v>0</v>
      </c>
      <c r="I32">
        <v>0</v>
      </c>
      <c r="J32">
        <v>0</v>
      </c>
      <c r="K32">
        <v>0</v>
      </c>
      <c r="L32" t="s">
        <v>271</v>
      </c>
    </row>
    <row r="33" spans="1:12" x14ac:dyDescent="0.35">
      <c r="A33">
        <v>47</v>
      </c>
      <c r="B33" t="s">
        <v>245</v>
      </c>
      <c r="C33" t="s">
        <v>241</v>
      </c>
      <c r="D33">
        <v>1100</v>
      </c>
      <c r="E33" t="s">
        <v>242</v>
      </c>
      <c r="F33">
        <v>1150</v>
      </c>
      <c r="G33">
        <v>0</v>
      </c>
      <c r="H33">
        <v>0</v>
      </c>
      <c r="I33">
        <v>0</v>
      </c>
      <c r="J33">
        <v>0</v>
      </c>
      <c r="K33">
        <v>0</v>
      </c>
      <c r="L33" t="s">
        <v>271</v>
      </c>
    </row>
    <row r="34" spans="1:12" x14ac:dyDescent="0.35">
      <c r="A34">
        <v>48</v>
      </c>
      <c r="B34" t="s">
        <v>246</v>
      </c>
      <c r="C34" t="s">
        <v>241</v>
      </c>
      <c r="D34">
        <v>2500</v>
      </c>
      <c r="E34" t="s">
        <v>242</v>
      </c>
      <c r="F34">
        <v>2700</v>
      </c>
      <c r="G34">
        <v>0</v>
      </c>
      <c r="H34">
        <v>0</v>
      </c>
      <c r="I34">
        <v>0</v>
      </c>
      <c r="J34">
        <v>0</v>
      </c>
      <c r="K34">
        <v>0</v>
      </c>
      <c r="L34" t="s">
        <v>271</v>
      </c>
    </row>
    <row r="35" spans="1:12" x14ac:dyDescent="0.35">
      <c r="A35">
        <v>49</v>
      </c>
      <c r="B35" t="s">
        <v>247</v>
      </c>
      <c r="C35" t="s">
        <v>241</v>
      </c>
      <c r="D35">
        <v>18000</v>
      </c>
      <c r="E35" t="s">
        <v>242</v>
      </c>
      <c r="F35">
        <v>19000</v>
      </c>
      <c r="G35">
        <v>0</v>
      </c>
      <c r="H35">
        <v>0</v>
      </c>
      <c r="I35">
        <v>0</v>
      </c>
      <c r="J35">
        <v>0</v>
      </c>
      <c r="K35">
        <v>0</v>
      </c>
      <c r="L35" t="s">
        <v>271</v>
      </c>
    </row>
    <row r="36" spans="1:12" x14ac:dyDescent="0.35">
      <c r="A36">
        <v>50</v>
      </c>
      <c r="B36" t="s">
        <v>248</v>
      </c>
      <c r="C36" t="s">
        <v>241</v>
      </c>
      <c r="D36">
        <v>5000</v>
      </c>
      <c r="E36" t="s">
        <v>242</v>
      </c>
      <c r="F36">
        <v>5200</v>
      </c>
      <c r="G36">
        <v>0</v>
      </c>
      <c r="H36">
        <v>0</v>
      </c>
      <c r="I36">
        <v>0</v>
      </c>
      <c r="J36">
        <v>0</v>
      </c>
      <c r="K36">
        <v>0</v>
      </c>
      <c r="L36" t="s">
        <v>271</v>
      </c>
    </row>
    <row r="37" spans="1:12" x14ac:dyDescent="0.35">
      <c r="A37">
        <v>51</v>
      </c>
      <c r="B37" t="s">
        <v>240</v>
      </c>
      <c r="C37">
        <v>0</v>
      </c>
      <c r="D37">
        <v>0</v>
      </c>
      <c r="E37">
        <v>0</v>
      </c>
      <c r="F37">
        <v>0</v>
      </c>
      <c r="G37" t="s">
        <v>253</v>
      </c>
      <c r="H37">
        <v>14000</v>
      </c>
      <c r="I37" t="s">
        <v>254</v>
      </c>
      <c r="J37">
        <v>14500</v>
      </c>
      <c r="K37">
        <v>0</v>
      </c>
      <c r="L37" t="s">
        <v>271</v>
      </c>
    </row>
    <row r="38" spans="1:12" x14ac:dyDescent="0.35">
      <c r="A38">
        <v>52</v>
      </c>
      <c r="B38" t="s">
        <v>243</v>
      </c>
      <c r="C38">
        <v>0</v>
      </c>
      <c r="D38">
        <v>0</v>
      </c>
      <c r="E38">
        <v>0</v>
      </c>
      <c r="F38">
        <v>0</v>
      </c>
      <c r="G38" t="s">
        <v>253</v>
      </c>
      <c r="H38">
        <v>850</v>
      </c>
      <c r="I38" t="s">
        <v>254</v>
      </c>
      <c r="J38">
        <v>920</v>
      </c>
      <c r="K38">
        <v>0</v>
      </c>
      <c r="L38" t="s">
        <v>271</v>
      </c>
    </row>
    <row r="39" spans="1:12" x14ac:dyDescent="0.35">
      <c r="A39">
        <v>53</v>
      </c>
      <c r="B39" t="s">
        <v>255</v>
      </c>
      <c r="C39">
        <v>0</v>
      </c>
      <c r="D39">
        <v>0</v>
      </c>
      <c r="E39">
        <v>0</v>
      </c>
      <c r="F39">
        <v>0</v>
      </c>
      <c r="G39" t="s">
        <v>253</v>
      </c>
      <c r="H39">
        <v>15500</v>
      </c>
      <c r="I39" t="s">
        <v>254</v>
      </c>
      <c r="J39">
        <v>16000</v>
      </c>
      <c r="K39">
        <v>0</v>
      </c>
      <c r="L39" t="s">
        <v>271</v>
      </c>
    </row>
    <row r="40" spans="1:12" x14ac:dyDescent="0.35">
      <c r="A40">
        <v>55</v>
      </c>
      <c r="B40" t="s">
        <v>244</v>
      </c>
      <c r="C40">
        <v>0</v>
      </c>
      <c r="D40">
        <v>0</v>
      </c>
      <c r="E40">
        <v>0</v>
      </c>
      <c r="F40">
        <v>0</v>
      </c>
      <c r="G40" t="s">
        <v>253</v>
      </c>
      <c r="H40">
        <v>1350</v>
      </c>
      <c r="I40" t="s">
        <v>254</v>
      </c>
      <c r="J40">
        <v>1400</v>
      </c>
      <c r="K40">
        <v>0</v>
      </c>
      <c r="L40" t="s">
        <v>271</v>
      </c>
    </row>
    <row r="41" spans="1:12" x14ac:dyDescent="0.35">
      <c r="A41">
        <v>56</v>
      </c>
      <c r="B41" t="s">
        <v>256</v>
      </c>
      <c r="C41">
        <v>0</v>
      </c>
      <c r="D41">
        <v>0</v>
      </c>
      <c r="E41">
        <v>0</v>
      </c>
      <c r="F41">
        <v>0</v>
      </c>
      <c r="G41" t="s">
        <v>253</v>
      </c>
      <c r="H41">
        <v>9200</v>
      </c>
      <c r="I41" t="s">
        <v>254</v>
      </c>
      <c r="J41">
        <v>9500</v>
      </c>
      <c r="K41">
        <v>0</v>
      </c>
      <c r="L41" t="s">
        <v>271</v>
      </c>
    </row>
    <row r="42" spans="1:12" x14ac:dyDescent="0.35">
      <c r="A42">
        <v>57</v>
      </c>
      <c r="B42" t="s">
        <v>245</v>
      </c>
      <c r="C42">
        <v>0</v>
      </c>
      <c r="D42">
        <v>0</v>
      </c>
      <c r="E42">
        <v>0</v>
      </c>
      <c r="F42">
        <v>0</v>
      </c>
      <c r="G42" t="s">
        <v>253</v>
      </c>
      <c r="H42">
        <v>1180</v>
      </c>
      <c r="I42" t="s">
        <v>254</v>
      </c>
      <c r="J42">
        <v>1200</v>
      </c>
      <c r="K42">
        <v>0</v>
      </c>
      <c r="L42" t="s">
        <v>271</v>
      </c>
    </row>
    <row r="43" spans="1:12" x14ac:dyDescent="0.35">
      <c r="A43">
        <v>58</v>
      </c>
      <c r="B43" t="s">
        <v>246</v>
      </c>
      <c r="C43">
        <v>0</v>
      </c>
      <c r="D43">
        <v>0</v>
      </c>
      <c r="E43">
        <v>0</v>
      </c>
      <c r="F43">
        <v>0</v>
      </c>
      <c r="G43" t="s">
        <v>253</v>
      </c>
      <c r="H43">
        <v>2800</v>
      </c>
      <c r="I43" t="s">
        <v>254</v>
      </c>
      <c r="J43">
        <v>2900</v>
      </c>
      <c r="K43">
        <v>0</v>
      </c>
      <c r="L43" t="s">
        <v>271</v>
      </c>
    </row>
    <row r="44" spans="1:12" x14ac:dyDescent="0.35">
      <c r="A44">
        <v>59</v>
      </c>
      <c r="B44" t="s">
        <v>247</v>
      </c>
      <c r="C44">
        <v>0</v>
      </c>
      <c r="D44">
        <v>0</v>
      </c>
      <c r="E44">
        <v>0</v>
      </c>
      <c r="F44">
        <v>0</v>
      </c>
      <c r="G44" t="s">
        <v>253</v>
      </c>
      <c r="H44">
        <v>19500</v>
      </c>
      <c r="I44" t="s">
        <v>254</v>
      </c>
      <c r="J44">
        <v>20000</v>
      </c>
      <c r="K44">
        <v>0</v>
      </c>
      <c r="L44" t="s">
        <v>271</v>
      </c>
    </row>
    <row r="45" spans="1:12" x14ac:dyDescent="0.35">
      <c r="A45">
        <v>60</v>
      </c>
      <c r="B45" t="s">
        <v>248</v>
      </c>
      <c r="C45">
        <v>0</v>
      </c>
      <c r="D45">
        <v>0</v>
      </c>
      <c r="E45">
        <v>0</v>
      </c>
      <c r="F45">
        <v>0</v>
      </c>
      <c r="G45" t="s">
        <v>253</v>
      </c>
      <c r="H45">
        <v>5400</v>
      </c>
      <c r="I45" t="s">
        <v>254</v>
      </c>
      <c r="J45">
        <v>5500</v>
      </c>
      <c r="K45">
        <v>0</v>
      </c>
      <c r="L45" t="s">
        <v>271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A5BF3-D22E-4E13-A046-FCD307022F08}">
  <dimension ref="A1:B8"/>
  <sheetViews>
    <sheetView workbookViewId="0">
      <selection sqref="A1:B8"/>
    </sheetView>
  </sheetViews>
  <sheetFormatPr defaultRowHeight="14.5" x14ac:dyDescent="0.35"/>
  <cols>
    <col min="1" max="1" width="8.08203125" bestFit="1" customWidth="1"/>
    <col min="2" max="2" width="16.58203125" bestFit="1" customWidth="1"/>
  </cols>
  <sheetData>
    <row r="1" spans="1:2" x14ac:dyDescent="0.35">
      <c r="A1" t="s">
        <v>236</v>
      </c>
      <c r="B1" t="s">
        <v>268</v>
      </c>
    </row>
    <row r="2" spans="1:2" x14ac:dyDescent="0.35">
      <c r="A2">
        <v>1</v>
      </c>
      <c r="B2">
        <v>0</v>
      </c>
    </row>
    <row r="3" spans="1:2" x14ac:dyDescent="0.35">
      <c r="A3">
        <v>2</v>
      </c>
      <c r="B3">
        <v>3500</v>
      </c>
    </row>
    <row r="4" spans="1:2" x14ac:dyDescent="0.35">
      <c r="A4">
        <v>4</v>
      </c>
      <c r="B4">
        <v>3500</v>
      </c>
    </row>
    <row r="5" spans="1:2" x14ac:dyDescent="0.35">
      <c r="A5">
        <v>5</v>
      </c>
      <c r="B5">
        <v>0</v>
      </c>
    </row>
    <row r="6" spans="1:2" x14ac:dyDescent="0.35">
      <c r="A6">
        <v>6</v>
      </c>
      <c r="B6">
        <v>3500</v>
      </c>
    </row>
    <row r="7" spans="1:2" x14ac:dyDescent="0.35">
      <c r="A7">
        <v>8</v>
      </c>
      <c r="B7">
        <v>3500</v>
      </c>
    </row>
    <row r="8" spans="1:2" x14ac:dyDescent="0.35">
      <c r="A8">
        <v>9</v>
      </c>
      <c r="B8">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86ED6-3E28-48FC-A9D3-3266654AA04D}">
  <dimension ref="A1"/>
  <sheetViews>
    <sheetView workbookViewId="0"/>
  </sheetViews>
  <sheetFormatPr defaultRowHeight="14.5" x14ac:dyDescent="0.35"/>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CCA0A-E543-401A-B907-7DE5EFD0F499}">
  <dimension ref="A1:B11"/>
  <sheetViews>
    <sheetView workbookViewId="0">
      <selection sqref="A1:B11"/>
    </sheetView>
  </sheetViews>
  <sheetFormatPr defaultRowHeight="14.5" x14ac:dyDescent="0.35"/>
  <cols>
    <col min="1" max="1" width="8.08203125" bestFit="1" customWidth="1"/>
  </cols>
  <sheetData>
    <row r="1" spans="1:2" x14ac:dyDescent="0.35">
      <c r="A1" t="s">
        <v>236</v>
      </c>
      <c r="B1" t="s">
        <v>266</v>
      </c>
    </row>
    <row r="2" spans="1:2" x14ac:dyDescent="0.35">
      <c r="A2">
        <v>1</v>
      </c>
      <c r="B2" t="s">
        <v>52</v>
      </c>
    </row>
    <row r="3" spans="1:2" x14ac:dyDescent="0.35">
      <c r="A3">
        <v>2</v>
      </c>
      <c r="B3" t="s">
        <v>53</v>
      </c>
    </row>
    <row r="4" spans="1:2" x14ac:dyDescent="0.35">
      <c r="A4">
        <v>3</v>
      </c>
      <c r="B4" t="s">
        <v>54</v>
      </c>
    </row>
    <row r="5" spans="1:2" x14ac:dyDescent="0.35">
      <c r="A5">
        <v>4</v>
      </c>
      <c r="B5" t="s">
        <v>55</v>
      </c>
    </row>
    <row r="6" spans="1:2" x14ac:dyDescent="0.35">
      <c r="A6">
        <v>5</v>
      </c>
      <c r="B6" t="s">
        <v>267</v>
      </c>
    </row>
    <row r="7" spans="1:2" x14ac:dyDescent="0.35">
      <c r="A7">
        <v>6</v>
      </c>
      <c r="B7" t="s">
        <v>52</v>
      </c>
    </row>
    <row r="8" spans="1:2" x14ac:dyDescent="0.35">
      <c r="A8">
        <v>7</v>
      </c>
      <c r="B8" t="s">
        <v>53</v>
      </c>
    </row>
    <row r="9" spans="1:2" x14ac:dyDescent="0.35">
      <c r="A9">
        <v>8</v>
      </c>
      <c r="B9" t="s">
        <v>54</v>
      </c>
    </row>
    <row r="10" spans="1:2" x14ac:dyDescent="0.35">
      <c r="A10">
        <v>9</v>
      </c>
      <c r="B10" t="s">
        <v>55</v>
      </c>
    </row>
    <row r="11" spans="1:2" x14ac:dyDescent="0.35">
      <c r="A11">
        <v>10</v>
      </c>
      <c r="B11" t="s">
        <v>52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46AF9F-D0BC-464E-B67B-FED992236203}">
  <dimension ref="A1:C11"/>
  <sheetViews>
    <sheetView workbookViewId="0">
      <selection activeCell="B13" sqref="B13"/>
    </sheetView>
  </sheetViews>
  <sheetFormatPr defaultRowHeight="14.5" x14ac:dyDescent="0.35"/>
  <cols>
    <col min="1" max="1" width="11.25" bestFit="1" customWidth="1"/>
    <col min="2" max="2" width="20" bestFit="1" customWidth="1"/>
    <col min="3" max="3" width="10.83203125" bestFit="1" customWidth="1"/>
  </cols>
  <sheetData>
    <row r="1" spans="1:3" x14ac:dyDescent="0.35">
      <c r="A1" t="s">
        <v>257</v>
      </c>
      <c r="B1" t="s">
        <v>258</v>
      </c>
      <c r="C1" t="s">
        <v>259</v>
      </c>
    </row>
    <row r="2" spans="1:3" x14ac:dyDescent="0.35">
      <c r="A2" t="s">
        <v>2</v>
      </c>
      <c r="B2" t="s">
        <v>240</v>
      </c>
      <c r="C2" t="s">
        <v>58</v>
      </c>
    </row>
    <row r="3" spans="1:3" x14ac:dyDescent="0.35">
      <c r="A3" t="s">
        <v>3</v>
      </c>
      <c r="B3" t="s">
        <v>255</v>
      </c>
      <c r="C3" t="s">
        <v>58</v>
      </c>
    </row>
    <row r="4" spans="1:3" x14ac:dyDescent="0.35">
      <c r="A4" t="s">
        <v>4</v>
      </c>
      <c r="B4" t="s">
        <v>260</v>
      </c>
      <c r="C4" t="s">
        <v>58</v>
      </c>
    </row>
    <row r="5" spans="1:3" x14ac:dyDescent="0.35">
      <c r="A5" t="s">
        <v>5</v>
      </c>
      <c r="B5" t="s">
        <v>247</v>
      </c>
      <c r="C5" t="s">
        <v>261</v>
      </c>
    </row>
    <row r="6" spans="1:3" x14ac:dyDescent="0.35">
      <c r="A6" t="s">
        <v>6</v>
      </c>
      <c r="B6" t="s">
        <v>243</v>
      </c>
      <c r="C6" t="s">
        <v>262</v>
      </c>
    </row>
    <row r="7" spans="1:3" x14ac:dyDescent="0.35">
      <c r="A7" t="s">
        <v>7</v>
      </c>
      <c r="B7" t="s">
        <v>245</v>
      </c>
      <c r="C7" t="s">
        <v>262</v>
      </c>
    </row>
    <row r="8" spans="1:3" x14ac:dyDescent="0.35">
      <c r="A8" t="s">
        <v>8</v>
      </c>
      <c r="B8" t="s">
        <v>246</v>
      </c>
      <c r="C8" t="s">
        <v>263</v>
      </c>
    </row>
    <row r="9" spans="1:3" x14ac:dyDescent="0.35">
      <c r="A9" t="s">
        <v>9</v>
      </c>
      <c r="B9" t="s">
        <v>244</v>
      </c>
      <c r="C9" t="s">
        <v>262</v>
      </c>
    </row>
    <row r="10" spans="1:3" x14ac:dyDescent="0.35">
      <c r="A10" t="s">
        <v>10</v>
      </c>
      <c r="B10" t="s">
        <v>256</v>
      </c>
      <c r="C10" t="s">
        <v>264</v>
      </c>
    </row>
    <row r="11" spans="1:3" x14ac:dyDescent="0.35">
      <c r="A11" t="s">
        <v>11</v>
      </c>
      <c r="B11" t="s">
        <v>248</v>
      </c>
      <c r="C11" t="s">
        <v>265</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6C8A88-A730-444F-8F77-D55A62E65B1C}">
  <dimension ref="A1:F10"/>
  <sheetViews>
    <sheetView workbookViewId="0">
      <selection sqref="A1:F10"/>
    </sheetView>
  </sheetViews>
  <sheetFormatPr defaultRowHeight="14.5" x14ac:dyDescent="0.35"/>
  <cols>
    <col min="1" max="1" width="8.08203125" bestFit="1" customWidth="1"/>
    <col min="2" max="2" width="20" bestFit="1" customWidth="1"/>
    <col min="3" max="3" width="9.33203125" bestFit="1" customWidth="1"/>
    <col min="4" max="4" width="11.58203125" bestFit="1" customWidth="1"/>
    <col min="5" max="5" width="8.83203125" bestFit="1" customWidth="1"/>
    <col min="6" max="6" width="11.9140625" bestFit="1" customWidth="1"/>
  </cols>
  <sheetData>
    <row r="1" spans="1:6" x14ac:dyDescent="0.35">
      <c r="A1" t="s">
        <v>236</v>
      </c>
      <c r="B1" t="s">
        <v>237</v>
      </c>
      <c r="C1" t="s">
        <v>249</v>
      </c>
      <c r="D1" t="s">
        <v>250</v>
      </c>
      <c r="E1" t="s">
        <v>251</v>
      </c>
      <c r="F1" t="s">
        <v>252</v>
      </c>
    </row>
    <row r="2" spans="1:6" x14ac:dyDescent="0.35">
      <c r="A2">
        <v>51</v>
      </c>
      <c r="B2" t="s">
        <v>240</v>
      </c>
      <c r="C2" t="s">
        <v>253</v>
      </c>
      <c r="D2">
        <v>14000</v>
      </c>
      <c r="E2" t="s">
        <v>254</v>
      </c>
      <c r="F2">
        <v>14500</v>
      </c>
    </row>
    <row r="3" spans="1:6" x14ac:dyDescent="0.35">
      <c r="A3">
        <v>52</v>
      </c>
      <c r="B3" t="s">
        <v>243</v>
      </c>
      <c r="C3" t="s">
        <v>253</v>
      </c>
      <c r="D3">
        <v>850</v>
      </c>
      <c r="E3" t="s">
        <v>254</v>
      </c>
      <c r="F3">
        <v>920</v>
      </c>
    </row>
    <row r="4" spans="1:6" x14ac:dyDescent="0.35">
      <c r="A4">
        <v>53</v>
      </c>
      <c r="B4" t="s">
        <v>255</v>
      </c>
      <c r="C4" t="s">
        <v>253</v>
      </c>
      <c r="D4">
        <v>15500</v>
      </c>
      <c r="E4" t="s">
        <v>254</v>
      </c>
      <c r="F4">
        <v>16000</v>
      </c>
    </row>
    <row r="5" spans="1:6" x14ac:dyDescent="0.35">
      <c r="A5">
        <v>55</v>
      </c>
      <c r="B5" t="s">
        <v>244</v>
      </c>
      <c r="C5" t="s">
        <v>253</v>
      </c>
      <c r="D5">
        <v>1350</v>
      </c>
      <c r="E5" t="s">
        <v>254</v>
      </c>
      <c r="F5">
        <v>1400</v>
      </c>
    </row>
    <row r="6" spans="1:6" x14ac:dyDescent="0.35">
      <c r="A6">
        <v>56</v>
      </c>
      <c r="B6" t="s">
        <v>256</v>
      </c>
      <c r="C6" t="s">
        <v>253</v>
      </c>
      <c r="D6">
        <v>9200</v>
      </c>
      <c r="E6" t="s">
        <v>254</v>
      </c>
      <c r="F6">
        <v>9500</v>
      </c>
    </row>
    <row r="7" spans="1:6" x14ac:dyDescent="0.35">
      <c r="A7">
        <v>57</v>
      </c>
      <c r="B7" t="s">
        <v>245</v>
      </c>
      <c r="C7" t="s">
        <v>253</v>
      </c>
      <c r="D7">
        <v>1180</v>
      </c>
      <c r="E7" t="s">
        <v>254</v>
      </c>
      <c r="F7">
        <v>1200</v>
      </c>
    </row>
    <row r="8" spans="1:6" x14ac:dyDescent="0.35">
      <c r="A8">
        <v>58</v>
      </c>
      <c r="B8" t="s">
        <v>246</v>
      </c>
      <c r="C8" t="s">
        <v>253</v>
      </c>
      <c r="D8">
        <v>2800</v>
      </c>
      <c r="E8" t="s">
        <v>254</v>
      </c>
      <c r="F8">
        <v>2900</v>
      </c>
    </row>
    <row r="9" spans="1:6" x14ac:dyDescent="0.35">
      <c r="A9">
        <v>59</v>
      </c>
      <c r="B9" t="s">
        <v>247</v>
      </c>
      <c r="C9" t="s">
        <v>253</v>
      </c>
      <c r="D9">
        <v>19500</v>
      </c>
      <c r="E9" t="s">
        <v>254</v>
      </c>
      <c r="F9">
        <v>20000</v>
      </c>
    </row>
    <row r="10" spans="1:6" x14ac:dyDescent="0.35">
      <c r="A10">
        <v>60</v>
      </c>
      <c r="B10" t="s">
        <v>248</v>
      </c>
      <c r="C10" t="s">
        <v>253</v>
      </c>
      <c r="D10">
        <v>5400</v>
      </c>
      <c r="E10" t="s">
        <v>254</v>
      </c>
      <c r="F10">
        <v>5500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CAF914-219C-4880-A036-F07B02E0EDF4}">
  <dimension ref="A1:F36"/>
  <sheetViews>
    <sheetView workbookViewId="0">
      <selection activeCell="H29" sqref="H29"/>
    </sheetView>
  </sheetViews>
  <sheetFormatPr defaultRowHeight="14.5" x14ac:dyDescent="0.35"/>
  <cols>
    <col min="1" max="1" width="8.08203125" bestFit="1" customWidth="1"/>
    <col min="2" max="2" width="20" bestFit="1" customWidth="1"/>
    <col min="4" max="4" width="10.6640625" bestFit="1" customWidth="1"/>
    <col min="5" max="5" width="8.9140625" bestFit="1" customWidth="1"/>
    <col min="6" max="6" width="10.83203125" bestFit="1" customWidth="1"/>
  </cols>
  <sheetData>
    <row r="1" spans="1:6" x14ac:dyDescent="0.35">
      <c r="A1" t="s">
        <v>236</v>
      </c>
      <c r="B1" t="s">
        <v>237</v>
      </c>
      <c r="C1" t="s">
        <v>164</v>
      </c>
      <c r="D1" t="s">
        <v>238</v>
      </c>
      <c r="E1" t="s">
        <v>235</v>
      </c>
      <c r="F1" t="s">
        <v>239</v>
      </c>
    </row>
    <row r="2" spans="1:6" x14ac:dyDescent="0.35">
      <c r="A2">
        <v>1</v>
      </c>
      <c r="B2" t="s">
        <v>240</v>
      </c>
      <c r="C2" t="s">
        <v>241</v>
      </c>
      <c r="D2">
        <v>12000</v>
      </c>
      <c r="E2" t="s">
        <v>242</v>
      </c>
      <c r="F2">
        <v>13500</v>
      </c>
    </row>
    <row r="3" spans="1:6" x14ac:dyDescent="0.35">
      <c r="A3">
        <v>2</v>
      </c>
      <c r="B3" t="s">
        <v>243</v>
      </c>
      <c r="C3" t="s">
        <v>241</v>
      </c>
      <c r="D3">
        <v>800</v>
      </c>
      <c r="E3" t="s">
        <v>242</v>
      </c>
      <c r="F3">
        <v>900</v>
      </c>
    </row>
    <row r="4" spans="1:6" x14ac:dyDescent="0.35">
      <c r="A4">
        <v>5</v>
      </c>
      <c r="B4" t="s">
        <v>244</v>
      </c>
      <c r="C4" t="s">
        <v>241</v>
      </c>
      <c r="D4">
        <v>1200</v>
      </c>
      <c r="E4" t="s">
        <v>242</v>
      </c>
      <c r="F4">
        <v>1300</v>
      </c>
    </row>
    <row r="5" spans="1:6" x14ac:dyDescent="0.35">
      <c r="A5">
        <v>7</v>
      </c>
      <c r="B5" t="s">
        <v>245</v>
      </c>
      <c r="C5" t="s">
        <v>241</v>
      </c>
      <c r="D5">
        <v>1100</v>
      </c>
      <c r="E5" t="s">
        <v>242</v>
      </c>
      <c r="F5">
        <v>1150</v>
      </c>
    </row>
    <row r="6" spans="1:6" x14ac:dyDescent="0.35">
      <c r="A6">
        <v>8</v>
      </c>
      <c r="B6" t="s">
        <v>246</v>
      </c>
      <c r="C6" t="s">
        <v>241</v>
      </c>
      <c r="D6">
        <v>2500</v>
      </c>
      <c r="E6" t="s">
        <v>242</v>
      </c>
      <c r="F6">
        <v>2700</v>
      </c>
    </row>
    <row r="7" spans="1:6" x14ac:dyDescent="0.35">
      <c r="A7">
        <v>9</v>
      </c>
      <c r="B7" t="s">
        <v>247</v>
      </c>
      <c r="C7" t="s">
        <v>241</v>
      </c>
      <c r="D7">
        <v>18000</v>
      </c>
      <c r="E7" t="s">
        <v>242</v>
      </c>
      <c r="F7">
        <v>19000</v>
      </c>
    </row>
    <row r="8" spans="1:6" x14ac:dyDescent="0.35">
      <c r="A8">
        <v>10</v>
      </c>
      <c r="B8" t="s">
        <v>248</v>
      </c>
      <c r="C8" t="s">
        <v>241</v>
      </c>
      <c r="D8">
        <v>5000</v>
      </c>
      <c r="E8" t="s">
        <v>242</v>
      </c>
      <c r="F8">
        <v>5200</v>
      </c>
    </row>
    <row r="9" spans="1:6" x14ac:dyDescent="0.35">
      <c r="A9">
        <v>11</v>
      </c>
      <c r="B9" t="s">
        <v>240</v>
      </c>
      <c r="C9" t="s">
        <v>241</v>
      </c>
      <c r="D9">
        <v>12000</v>
      </c>
      <c r="E9" t="s">
        <v>242</v>
      </c>
      <c r="F9">
        <v>13500</v>
      </c>
    </row>
    <row r="10" spans="1:6" x14ac:dyDescent="0.35">
      <c r="A10">
        <v>12</v>
      </c>
      <c r="B10" t="s">
        <v>243</v>
      </c>
      <c r="C10" t="s">
        <v>241</v>
      </c>
      <c r="D10">
        <v>800</v>
      </c>
      <c r="E10" t="s">
        <v>242</v>
      </c>
      <c r="F10">
        <v>900</v>
      </c>
    </row>
    <row r="11" spans="1:6" x14ac:dyDescent="0.35">
      <c r="A11">
        <v>15</v>
      </c>
      <c r="B11" t="s">
        <v>244</v>
      </c>
      <c r="C11" t="s">
        <v>241</v>
      </c>
      <c r="D11">
        <v>1200</v>
      </c>
      <c r="E11" t="s">
        <v>242</v>
      </c>
      <c r="F11">
        <v>1300</v>
      </c>
    </row>
    <row r="12" spans="1:6" x14ac:dyDescent="0.35">
      <c r="A12">
        <v>17</v>
      </c>
      <c r="B12" t="s">
        <v>245</v>
      </c>
      <c r="C12" t="s">
        <v>241</v>
      </c>
      <c r="D12">
        <v>1100</v>
      </c>
      <c r="E12" t="s">
        <v>242</v>
      </c>
      <c r="F12">
        <v>1150</v>
      </c>
    </row>
    <row r="13" spans="1:6" x14ac:dyDescent="0.35">
      <c r="A13">
        <v>18</v>
      </c>
      <c r="B13" t="s">
        <v>246</v>
      </c>
      <c r="C13" t="s">
        <v>241</v>
      </c>
      <c r="D13">
        <v>2500</v>
      </c>
      <c r="E13" t="s">
        <v>242</v>
      </c>
      <c r="F13">
        <v>2700</v>
      </c>
    </row>
    <row r="14" spans="1:6" x14ac:dyDescent="0.35">
      <c r="A14">
        <v>19</v>
      </c>
      <c r="B14" t="s">
        <v>247</v>
      </c>
      <c r="C14" t="s">
        <v>241</v>
      </c>
      <c r="D14">
        <v>18000</v>
      </c>
      <c r="E14" t="s">
        <v>242</v>
      </c>
      <c r="F14">
        <v>19000</v>
      </c>
    </row>
    <row r="15" spans="1:6" x14ac:dyDescent="0.35">
      <c r="A15">
        <v>20</v>
      </c>
      <c r="B15" t="s">
        <v>248</v>
      </c>
      <c r="C15" t="s">
        <v>241</v>
      </c>
      <c r="D15">
        <v>5000</v>
      </c>
      <c r="E15" t="s">
        <v>242</v>
      </c>
      <c r="F15">
        <v>5200</v>
      </c>
    </row>
    <row r="16" spans="1:6" x14ac:dyDescent="0.35">
      <c r="A16">
        <v>21</v>
      </c>
      <c r="B16" t="s">
        <v>240</v>
      </c>
      <c r="C16" t="s">
        <v>241</v>
      </c>
      <c r="D16">
        <v>12000</v>
      </c>
      <c r="E16" t="s">
        <v>242</v>
      </c>
      <c r="F16">
        <v>13500</v>
      </c>
    </row>
    <row r="17" spans="1:6" x14ac:dyDescent="0.35">
      <c r="A17">
        <v>22</v>
      </c>
      <c r="B17" t="s">
        <v>243</v>
      </c>
      <c r="C17" t="s">
        <v>241</v>
      </c>
      <c r="D17">
        <v>800</v>
      </c>
      <c r="E17" t="s">
        <v>242</v>
      </c>
      <c r="F17">
        <v>900</v>
      </c>
    </row>
    <row r="18" spans="1:6" x14ac:dyDescent="0.35">
      <c r="A18">
        <v>25</v>
      </c>
      <c r="B18" t="s">
        <v>244</v>
      </c>
      <c r="C18" t="s">
        <v>241</v>
      </c>
      <c r="D18">
        <v>1200</v>
      </c>
      <c r="E18" t="s">
        <v>242</v>
      </c>
      <c r="F18">
        <v>1300</v>
      </c>
    </row>
    <row r="19" spans="1:6" x14ac:dyDescent="0.35">
      <c r="A19">
        <v>27</v>
      </c>
      <c r="B19" t="s">
        <v>245</v>
      </c>
      <c r="C19" t="s">
        <v>241</v>
      </c>
      <c r="D19">
        <v>1100</v>
      </c>
      <c r="E19" t="s">
        <v>242</v>
      </c>
      <c r="F19">
        <v>1150</v>
      </c>
    </row>
    <row r="20" spans="1:6" x14ac:dyDescent="0.35">
      <c r="A20">
        <v>28</v>
      </c>
      <c r="B20" t="s">
        <v>246</v>
      </c>
      <c r="C20" t="s">
        <v>241</v>
      </c>
      <c r="D20">
        <v>2500</v>
      </c>
      <c r="E20" t="s">
        <v>242</v>
      </c>
      <c r="F20">
        <v>2700</v>
      </c>
    </row>
    <row r="21" spans="1:6" x14ac:dyDescent="0.35">
      <c r="A21">
        <v>29</v>
      </c>
      <c r="B21" t="s">
        <v>247</v>
      </c>
      <c r="C21" t="s">
        <v>241</v>
      </c>
      <c r="D21">
        <v>18000</v>
      </c>
      <c r="E21" t="s">
        <v>242</v>
      </c>
      <c r="F21">
        <v>19000</v>
      </c>
    </row>
    <row r="22" spans="1:6" x14ac:dyDescent="0.35">
      <c r="A22">
        <v>30</v>
      </c>
      <c r="B22" t="s">
        <v>248</v>
      </c>
      <c r="C22" t="s">
        <v>241</v>
      </c>
      <c r="D22">
        <v>5000</v>
      </c>
      <c r="E22" t="s">
        <v>242</v>
      </c>
      <c r="F22">
        <v>5200</v>
      </c>
    </row>
    <row r="23" spans="1:6" x14ac:dyDescent="0.35">
      <c r="A23">
        <v>31</v>
      </c>
      <c r="B23" t="s">
        <v>240</v>
      </c>
      <c r="C23" t="s">
        <v>241</v>
      </c>
      <c r="D23">
        <v>12000</v>
      </c>
      <c r="E23" t="s">
        <v>242</v>
      </c>
      <c r="F23">
        <v>13500</v>
      </c>
    </row>
    <row r="24" spans="1:6" x14ac:dyDescent="0.35">
      <c r="A24">
        <v>32</v>
      </c>
      <c r="B24" t="s">
        <v>243</v>
      </c>
      <c r="C24" t="s">
        <v>241</v>
      </c>
      <c r="D24">
        <v>800</v>
      </c>
      <c r="E24" t="s">
        <v>242</v>
      </c>
      <c r="F24">
        <v>900</v>
      </c>
    </row>
    <row r="25" spans="1:6" x14ac:dyDescent="0.35">
      <c r="A25">
        <v>35</v>
      </c>
      <c r="B25" t="s">
        <v>244</v>
      </c>
      <c r="C25" t="s">
        <v>241</v>
      </c>
      <c r="D25">
        <v>1200</v>
      </c>
      <c r="E25" t="s">
        <v>242</v>
      </c>
      <c r="F25">
        <v>1300</v>
      </c>
    </row>
    <row r="26" spans="1:6" x14ac:dyDescent="0.35">
      <c r="A26">
        <v>37</v>
      </c>
      <c r="B26" t="s">
        <v>245</v>
      </c>
      <c r="C26" t="s">
        <v>241</v>
      </c>
      <c r="D26">
        <v>1100</v>
      </c>
      <c r="E26" t="s">
        <v>242</v>
      </c>
      <c r="F26">
        <v>1150</v>
      </c>
    </row>
    <row r="27" spans="1:6" x14ac:dyDescent="0.35">
      <c r="A27">
        <v>38</v>
      </c>
      <c r="B27" t="s">
        <v>246</v>
      </c>
      <c r="C27" t="s">
        <v>241</v>
      </c>
      <c r="D27">
        <v>2500</v>
      </c>
      <c r="E27" t="s">
        <v>242</v>
      </c>
      <c r="F27">
        <v>2700</v>
      </c>
    </row>
    <row r="28" spans="1:6" x14ac:dyDescent="0.35">
      <c r="A28">
        <v>39</v>
      </c>
      <c r="B28" t="s">
        <v>247</v>
      </c>
      <c r="C28" t="s">
        <v>241</v>
      </c>
      <c r="D28">
        <v>18000</v>
      </c>
      <c r="E28" t="s">
        <v>242</v>
      </c>
      <c r="F28">
        <v>19000</v>
      </c>
    </row>
    <row r="29" spans="1:6" x14ac:dyDescent="0.35">
      <c r="A29">
        <v>40</v>
      </c>
      <c r="B29" t="s">
        <v>248</v>
      </c>
      <c r="C29" t="s">
        <v>241</v>
      </c>
      <c r="D29">
        <v>5000</v>
      </c>
      <c r="E29" t="s">
        <v>242</v>
      </c>
      <c r="F29">
        <v>5200</v>
      </c>
    </row>
    <row r="30" spans="1:6" x14ac:dyDescent="0.35">
      <c r="A30">
        <v>41</v>
      </c>
      <c r="B30" t="s">
        <v>240</v>
      </c>
      <c r="C30" t="s">
        <v>241</v>
      </c>
      <c r="D30">
        <v>12000</v>
      </c>
      <c r="E30" t="s">
        <v>242</v>
      </c>
      <c r="F30">
        <v>13500</v>
      </c>
    </row>
    <row r="31" spans="1:6" x14ac:dyDescent="0.35">
      <c r="A31">
        <v>42</v>
      </c>
      <c r="B31" t="s">
        <v>243</v>
      </c>
      <c r="C31" t="s">
        <v>241</v>
      </c>
      <c r="D31">
        <v>800</v>
      </c>
      <c r="E31" t="s">
        <v>242</v>
      </c>
      <c r="F31">
        <v>900</v>
      </c>
    </row>
    <row r="32" spans="1:6" x14ac:dyDescent="0.35">
      <c r="A32">
        <v>45</v>
      </c>
      <c r="B32" t="s">
        <v>244</v>
      </c>
      <c r="C32" t="s">
        <v>241</v>
      </c>
      <c r="D32">
        <v>1200</v>
      </c>
      <c r="E32" t="s">
        <v>242</v>
      </c>
      <c r="F32">
        <v>1300</v>
      </c>
    </row>
    <row r="33" spans="1:6" x14ac:dyDescent="0.35">
      <c r="A33">
        <v>47</v>
      </c>
      <c r="B33" t="s">
        <v>245</v>
      </c>
      <c r="C33" t="s">
        <v>241</v>
      </c>
      <c r="D33">
        <v>1100</v>
      </c>
      <c r="E33" t="s">
        <v>242</v>
      </c>
      <c r="F33">
        <v>1150</v>
      </c>
    </row>
    <row r="34" spans="1:6" x14ac:dyDescent="0.35">
      <c r="A34">
        <v>48</v>
      </c>
      <c r="B34" t="s">
        <v>246</v>
      </c>
      <c r="C34" t="s">
        <v>241</v>
      </c>
      <c r="D34">
        <v>2500</v>
      </c>
      <c r="E34" t="s">
        <v>242</v>
      </c>
      <c r="F34">
        <v>2700</v>
      </c>
    </row>
    <row r="35" spans="1:6" x14ac:dyDescent="0.35">
      <c r="A35">
        <v>49</v>
      </c>
      <c r="B35" t="s">
        <v>247</v>
      </c>
      <c r="C35" t="s">
        <v>241</v>
      </c>
      <c r="D35">
        <v>18000</v>
      </c>
      <c r="E35" t="s">
        <v>242</v>
      </c>
      <c r="F35">
        <v>19000</v>
      </c>
    </row>
    <row r="36" spans="1:6" x14ac:dyDescent="0.35">
      <c r="A36">
        <v>50</v>
      </c>
      <c r="B36" t="s">
        <v>248</v>
      </c>
      <c r="C36" t="s">
        <v>241</v>
      </c>
      <c r="D36">
        <v>5000</v>
      </c>
      <c r="E36" t="s">
        <v>242</v>
      </c>
      <c r="F36">
        <v>5200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F3D92C-4E9F-401C-97BA-817FD62C9181}">
  <dimension ref="A1:B7"/>
  <sheetViews>
    <sheetView topLeftCell="A10" workbookViewId="0">
      <selection activeCell="E10" sqref="E10"/>
    </sheetView>
  </sheetViews>
  <sheetFormatPr defaultRowHeight="14.5" x14ac:dyDescent="0.35"/>
  <sheetData>
    <row r="1" spans="1:2" x14ac:dyDescent="0.35">
      <c r="A1" t="s">
        <v>272</v>
      </c>
      <c r="B1" t="s">
        <v>174</v>
      </c>
    </row>
    <row r="2" spans="1:2" x14ac:dyDescent="0.35">
      <c r="A2">
        <v>1</v>
      </c>
      <c r="B2">
        <v>10</v>
      </c>
    </row>
    <row r="3" spans="1:2" x14ac:dyDescent="0.35">
      <c r="A3">
        <v>2</v>
      </c>
      <c r="B3">
        <v>20</v>
      </c>
    </row>
    <row r="4" spans="1:2" x14ac:dyDescent="0.35">
      <c r="A4">
        <v>3</v>
      </c>
      <c r="B4">
        <v>30</v>
      </c>
    </row>
    <row r="5" spans="1:2" x14ac:dyDescent="0.35">
      <c r="A5">
        <v>4</v>
      </c>
      <c r="B5">
        <v>40</v>
      </c>
    </row>
    <row r="6" spans="1:2" x14ac:dyDescent="0.35">
      <c r="A6">
        <v>5</v>
      </c>
      <c r="B6">
        <v>60</v>
      </c>
    </row>
    <row r="7" spans="1:2" x14ac:dyDescent="0.35">
      <c r="A7">
        <v>6</v>
      </c>
      <c r="B7">
        <v>0</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C4ED62-7B35-4A85-80C6-85F9D6B5F671}">
  <dimension ref="A1:E22"/>
  <sheetViews>
    <sheetView zoomScale="160" zoomScaleNormal="160" workbookViewId="0">
      <selection activeCell="F6" sqref="F6"/>
    </sheetView>
  </sheetViews>
  <sheetFormatPr defaultRowHeight="14.5" x14ac:dyDescent="0.35"/>
  <cols>
    <col min="1" max="1" width="11.5" customWidth="1"/>
    <col min="4" max="4" width="10.4140625" bestFit="1" customWidth="1"/>
  </cols>
  <sheetData>
    <row r="1" spans="1:5" x14ac:dyDescent="0.35">
      <c r="A1" t="s">
        <v>278</v>
      </c>
      <c r="B1" t="s">
        <v>279</v>
      </c>
      <c r="C1" t="s">
        <v>281</v>
      </c>
      <c r="D1" t="s">
        <v>280</v>
      </c>
      <c r="E1" t="s">
        <v>285</v>
      </c>
    </row>
    <row r="2" spans="1:5" x14ac:dyDescent="0.35">
      <c r="A2" t="s">
        <v>274</v>
      </c>
      <c r="B2">
        <v>22</v>
      </c>
      <c r="C2">
        <v>25000</v>
      </c>
      <c r="D2" s="18">
        <v>44938</v>
      </c>
      <c r="E2" t="s">
        <v>283</v>
      </c>
    </row>
    <row r="3" spans="1:5" x14ac:dyDescent="0.35">
      <c r="A3" t="s">
        <v>273</v>
      </c>
      <c r="B3">
        <v>25</v>
      </c>
      <c r="C3">
        <v>45000</v>
      </c>
      <c r="D3" s="11">
        <v>45448</v>
      </c>
      <c r="E3" t="s">
        <v>284</v>
      </c>
    </row>
    <row r="4" spans="1:5" x14ac:dyDescent="0.35">
      <c r="A4" t="s">
        <v>274</v>
      </c>
      <c r="B4">
        <v>18</v>
      </c>
      <c r="C4">
        <v>60000</v>
      </c>
      <c r="D4" t="s">
        <v>282</v>
      </c>
      <c r="E4" t="s">
        <v>284</v>
      </c>
    </row>
    <row r="5" spans="1:5" x14ac:dyDescent="0.35">
      <c r="A5" t="s">
        <v>275</v>
      </c>
      <c r="B5">
        <v>29</v>
      </c>
      <c r="C5">
        <v>150000</v>
      </c>
      <c r="D5" s="11">
        <v>44788</v>
      </c>
      <c r="E5" t="s">
        <v>283</v>
      </c>
    </row>
    <row r="6" spans="1:5" x14ac:dyDescent="0.35">
      <c r="A6" t="s">
        <v>276</v>
      </c>
      <c r="B6">
        <v>45</v>
      </c>
      <c r="C6">
        <v>20000</v>
      </c>
      <c r="D6" s="11">
        <v>45658</v>
      </c>
      <c r="E6" t="s">
        <v>283</v>
      </c>
    </row>
    <row r="7" spans="1:5" x14ac:dyDescent="0.35">
      <c r="A7" t="s">
        <v>277</v>
      </c>
      <c r="B7">
        <v>61</v>
      </c>
      <c r="C7">
        <v>25000</v>
      </c>
      <c r="D7" s="11">
        <v>45351</v>
      </c>
    </row>
    <row r="8" spans="1:5" x14ac:dyDescent="0.35">
      <c r="A8" t="s">
        <v>273</v>
      </c>
      <c r="B8">
        <v>34</v>
      </c>
      <c r="C8">
        <v>75000</v>
      </c>
      <c r="D8" s="11">
        <v>45690</v>
      </c>
      <c r="E8" t="s">
        <v>284</v>
      </c>
    </row>
    <row r="9" spans="1:5" x14ac:dyDescent="0.35">
      <c r="A9" t="s">
        <v>274</v>
      </c>
      <c r="B9">
        <v>21</v>
      </c>
      <c r="C9">
        <v>92000</v>
      </c>
      <c r="D9" s="11">
        <v>45250</v>
      </c>
      <c r="E9" t="s">
        <v>284</v>
      </c>
    </row>
    <row r="10" spans="1:5" x14ac:dyDescent="0.35">
      <c r="A10" t="s">
        <v>277</v>
      </c>
      <c r="B10">
        <v>28</v>
      </c>
      <c r="C10">
        <v>21000</v>
      </c>
      <c r="D10" s="11">
        <v>44391</v>
      </c>
      <c r="E10" t="s">
        <v>283</v>
      </c>
    </row>
    <row r="11" spans="1:5" x14ac:dyDescent="0.35">
      <c r="A11" t="s">
        <v>273</v>
      </c>
      <c r="B11">
        <v>30</v>
      </c>
      <c r="C11">
        <v>110000</v>
      </c>
      <c r="E11" t="s">
        <v>283</v>
      </c>
    </row>
    <row r="12" spans="1:5" x14ac:dyDescent="0.35">
      <c r="A12" t="s">
        <v>275</v>
      </c>
      <c r="B12">
        <v>40</v>
      </c>
      <c r="C12">
        <v>52000</v>
      </c>
    </row>
    <row r="13" spans="1:5" x14ac:dyDescent="0.35">
      <c r="A13" t="s">
        <v>276</v>
      </c>
      <c r="B13">
        <v>55</v>
      </c>
      <c r="C13">
        <v>48000</v>
      </c>
    </row>
    <row r="14" spans="1:5" x14ac:dyDescent="0.35">
      <c r="A14" t="s">
        <v>275</v>
      </c>
      <c r="B14">
        <v>19</v>
      </c>
      <c r="C14">
        <v>999999</v>
      </c>
    </row>
    <row r="15" spans="1:5" x14ac:dyDescent="0.35">
      <c r="A15" t="s">
        <v>274</v>
      </c>
      <c r="B15">
        <v>27</v>
      </c>
      <c r="C15">
        <v>35000</v>
      </c>
    </row>
    <row r="16" spans="1:5" x14ac:dyDescent="0.35">
      <c r="A16" t="s">
        <v>277</v>
      </c>
      <c r="B16">
        <v>65</v>
      </c>
      <c r="C16">
        <v>40000</v>
      </c>
    </row>
    <row r="17" spans="1:3" x14ac:dyDescent="0.35">
      <c r="A17" t="s">
        <v>273</v>
      </c>
      <c r="B17">
        <v>30</v>
      </c>
      <c r="C17">
        <v>37000</v>
      </c>
    </row>
    <row r="18" spans="1:3" x14ac:dyDescent="0.35">
      <c r="A18" t="s">
        <v>275</v>
      </c>
      <c r="B18">
        <v>21</v>
      </c>
      <c r="C18">
        <v>67000</v>
      </c>
    </row>
    <row r="19" spans="1:3" x14ac:dyDescent="0.35">
      <c r="A19" t="s">
        <v>276</v>
      </c>
      <c r="B19">
        <v>18</v>
      </c>
      <c r="C19">
        <v>58000</v>
      </c>
    </row>
    <row r="20" spans="1:3" x14ac:dyDescent="0.35">
      <c r="A20" t="s">
        <v>273</v>
      </c>
      <c r="B20">
        <v>70</v>
      </c>
      <c r="C20">
        <v>89000</v>
      </c>
    </row>
    <row r="21" spans="1:3" x14ac:dyDescent="0.35">
      <c r="A21" t="s">
        <v>274</v>
      </c>
      <c r="B21">
        <v>33</v>
      </c>
      <c r="C21">
        <v>31000</v>
      </c>
    </row>
    <row r="22" spans="1:3" x14ac:dyDescent="0.35">
      <c r="A22" t="s">
        <v>274</v>
      </c>
    </row>
  </sheetData>
  <dataValidations count="7">
    <dataValidation type="list" allowBlank="1" showInputMessage="1" showErrorMessage="1" sqref="A2:A21 A24:A1048576" xr:uid="{C2CBB33D-597D-4DD3-891D-FAA206A76F6E}">
      <formula1>"Marketing,HR,Finance,IT,Operations"</formula1>
    </dataValidation>
    <dataValidation type="list" allowBlank="1" showInputMessage="1" showErrorMessage="1" errorTitle="iNVALID DEPARTMENT" error="Department must be one of IT HR Marketing Sales and Operations Please validate input and enter correct value " sqref="A22" xr:uid="{6A20B10A-D16A-4FC9-BCFE-45AFEF98EDCB}">
      <formula1>"Marketing,HR,Finance,IT,Operations"</formula1>
    </dataValidation>
    <dataValidation type="list" allowBlank="1" showInputMessage="1" showErrorMessage="1" errorTitle="Invalid value" error="Value must be one of IT,HR,Finance,Sales,Marketing" sqref="A23" xr:uid="{C8D9D1EA-7B63-4E3D-B4D4-A26935FD7152}">
      <formula1>"Marketing,HR,Finance,IT,Operations"</formula1>
    </dataValidation>
    <dataValidation type="whole" allowBlank="1" showInputMessage="1" showErrorMessage="1" errorTitle="Age range issue " error="Aget must be in range of 18 to 100 years and no decimal numbers are allowed " sqref="B1:B1048576" xr:uid="{EB85B930-F086-4471-A2FF-845559BC7FCA}">
      <formula1>18</formula1>
      <formula2>100</formula2>
    </dataValidation>
    <dataValidation type="decimal" allowBlank="1" showInputMessage="1" showErrorMessage="1" sqref="C2:C22" xr:uid="{050AD290-575A-4697-B67D-551928F9DFDE}">
      <formula1>20000</formula1>
      <formula2>70000000</formula2>
    </dataValidation>
    <dataValidation type="date" allowBlank="1" showInputMessage="1" showErrorMessage="1" sqref="D2:D22" xr:uid="{8AC6D84F-BB0E-432B-BA37-0E01A04D268E}">
      <formula1>32874</formula1>
      <formula2>55153</formula2>
    </dataValidation>
    <dataValidation type="list" allowBlank="1" showInputMessage="1" showErrorMessage="1" sqref="E2:E22" xr:uid="{A5437DE6-30D4-4997-A512-AD284D830E85}">
      <formula1>"Male,Female"</formula1>
    </dataValidation>
  </dataValidations>
  <pageMargins left="0.7" right="0.7" top="0.75" bottom="0.75" header="0.3" footer="0.3"/>
  <pageSetup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9BDE64-C59F-422F-8F22-3EE8325A4C8C}">
  <dimension ref="A1:I21"/>
  <sheetViews>
    <sheetView workbookViewId="0">
      <selection activeCell="E7" sqref="E7"/>
    </sheetView>
  </sheetViews>
  <sheetFormatPr defaultRowHeight="14.5" x14ac:dyDescent="0.35"/>
  <cols>
    <col min="1" max="1" width="9.25" bestFit="1" customWidth="1"/>
    <col min="2" max="2" width="13" bestFit="1" customWidth="1"/>
    <col min="3" max="3" width="11.6640625" bestFit="1" customWidth="1"/>
    <col min="4" max="4" width="9.83203125" bestFit="1" customWidth="1"/>
    <col min="5" max="5" width="10.4140625" bestFit="1" customWidth="1"/>
    <col min="6" max="6" width="10.25" bestFit="1" customWidth="1"/>
    <col min="7" max="7" width="11.6640625" bestFit="1" customWidth="1"/>
    <col min="8" max="8" width="9.75" bestFit="1" customWidth="1"/>
    <col min="9" max="9" width="8.83203125" bestFit="1" customWidth="1"/>
  </cols>
  <sheetData>
    <row r="1" spans="1:9" x14ac:dyDescent="0.35">
      <c r="A1" s="20" t="s">
        <v>290</v>
      </c>
      <c r="B1" s="21" t="s">
        <v>291</v>
      </c>
      <c r="C1" s="21" t="s">
        <v>70</v>
      </c>
      <c r="D1" s="21" t="s">
        <v>292</v>
      </c>
      <c r="E1" s="21" t="s">
        <v>64</v>
      </c>
      <c r="F1" s="21" t="s">
        <v>342</v>
      </c>
      <c r="G1" s="21" t="s">
        <v>293</v>
      </c>
      <c r="H1" s="21" t="s">
        <v>294</v>
      </c>
      <c r="I1" s="22" t="s">
        <v>295</v>
      </c>
    </row>
    <row r="2" spans="1:9" x14ac:dyDescent="0.35">
      <c r="A2" s="23">
        <v>1</v>
      </c>
      <c r="B2" s="24" t="s">
        <v>296</v>
      </c>
      <c r="C2" s="24" t="s">
        <v>297</v>
      </c>
      <c r="D2" s="24">
        <v>15</v>
      </c>
      <c r="E2" s="24" t="s">
        <v>298</v>
      </c>
      <c r="F2" s="24">
        <v>12000</v>
      </c>
      <c r="G2" s="25">
        <v>44938</v>
      </c>
      <c r="H2" s="24"/>
      <c r="I2" s="26"/>
    </row>
    <row r="3" spans="1:9" x14ac:dyDescent="0.35">
      <c r="A3" s="23">
        <v>2</v>
      </c>
      <c r="B3" s="24" t="s">
        <v>299</v>
      </c>
      <c r="C3" s="24" t="s">
        <v>300</v>
      </c>
      <c r="D3" s="24" t="s">
        <v>289</v>
      </c>
      <c r="E3" s="24">
        <v>800</v>
      </c>
      <c r="F3" s="25">
        <v>45306</v>
      </c>
      <c r="G3" s="24"/>
      <c r="H3" s="24"/>
      <c r="I3" s="26"/>
    </row>
    <row r="4" spans="1:9" x14ac:dyDescent="0.35">
      <c r="A4" s="23">
        <v>3</v>
      </c>
      <c r="B4" s="24" t="s">
        <v>301</v>
      </c>
      <c r="C4" s="24" t="s">
        <v>302</v>
      </c>
      <c r="D4" s="24">
        <v>13</v>
      </c>
      <c r="E4" s="24" t="s">
        <v>303</v>
      </c>
      <c r="F4" s="24">
        <v>15000</v>
      </c>
      <c r="G4" s="24" t="s">
        <v>304</v>
      </c>
      <c r="H4" s="24"/>
      <c r="I4" s="26"/>
    </row>
    <row r="5" spans="1:9" x14ac:dyDescent="0.35">
      <c r="A5" s="23">
        <v>4</v>
      </c>
      <c r="B5" s="24" t="s">
        <v>305</v>
      </c>
      <c r="C5" s="24" t="s">
        <v>58</v>
      </c>
      <c r="D5" s="24" t="s">
        <v>306</v>
      </c>
      <c r="E5" s="24" t="s">
        <v>307</v>
      </c>
      <c r="F5" s="24">
        <v>22000</v>
      </c>
      <c r="G5" s="24"/>
      <c r="H5" s="24"/>
      <c r="I5" s="26"/>
    </row>
    <row r="6" spans="1:9" x14ac:dyDescent="0.35">
      <c r="A6" s="23">
        <v>5</v>
      </c>
      <c r="B6" s="24" t="s">
        <v>308</v>
      </c>
      <c r="C6" s="24" t="s">
        <v>309</v>
      </c>
      <c r="D6" s="24" t="s">
        <v>310</v>
      </c>
      <c r="E6" s="24" t="s">
        <v>298</v>
      </c>
      <c r="F6" s="24">
        <v>1200</v>
      </c>
      <c r="G6" s="24" t="s">
        <v>311</v>
      </c>
      <c r="H6" s="24" t="s">
        <v>312</v>
      </c>
      <c r="I6" s="26">
        <v>2024</v>
      </c>
    </row>
    <row r="7" spans="1:9" x14ac:dyDescent="0.35">
      <c r="A7" s="23">
        <v>6</v>
      </c>
      <c r="B7" s="24" t="s">
        <v>286</v>
      </c>
      <c r="C7" s="24" t="s">
        <v>287</v>
      </c>
      <c r="D7" s="24" t="s">
        <v>288</v>
      </c>
      <c r="E7" s="24" t="s">
        <v>289</v>
      </c>
      <c r="F7" s="24">
        <v>9000</v>
      </c>
      <c r="G7" s="24"/>
      <c r="H7" s="24"/>
      <c r="I7" s="26"/>
    </row>
    <row r="8" spans="1:9" x14ac:dyDescent="0.35">
      <c r="A8" s="23">
        <v>7</v>
      </c>
      <c r="B8" s="24" t="s">
        <v>299</v>
      </c>
      <c r="C8" s="24" t="s">
        <v>313</v>
      </c>
      <c r="D8" s="24" t="s">
        <v>303</v>
      </c>
      <c r="E8" s="24">
        <v>1100</v>
      </c>
      <c r="F8" s="27">
        <v>45084</v>
      </c>
      <c r="G8" s="24"/>
      <c r="H8" s="24"/>
      <c r="I8" s="26"/>
    </row>
    <row r="9" spans="1:9" x14ac:dyDescent="0.35">
      <c r="A9" s="23">
        <v>8</v>
      </c>
      <c r="B9" s="24" t="s">
        <v>314</v>
      </c>
      <c r="C9" s="24" t="s">
        <v>315</v>
      </c>
      <c r="D9" s="24" t="s">
        <v>307</v>
      </c>
      <c r="E9" s="24">
        <v>2500</v>
      </c>
      <c r="F9" s="24" t="s">
        <v>169</v>
      </c>
      <c r="G9" s="24">
        <v>7</v>
      </c>
      <c r="H9" s="24">
        <v>2024</v>
      </c>
      <c r="I9" s="26"/>
    </row>
    <row r="10" spans="1:9" x14ac:dyDescent="0.35">
      <c r="A10" s="23">
        <v>9</v>
      </c>
      <c r="B10" s="24" t="s">
        <v>316</v>
      </c>
      <c r="C10" s="24" t="s">
        <v>317</v>
      </c>
      <c r="D10" s="24" t="s">
        <v>318</v>
      </c>
      <c r="E10" s="24" t="s">
        <v>298</v>
      </c>
      <c r="F10" s="24">
        <v>18000</v>
      </c>
      <c r="G10" s="24">
        <v>25</v>
      </c>
      <c r="H10" s="24" t="s">
        <v>171</v>
      </c>
      <c r="I10" s="26">
        <v>2023</v>
      </c>
    </row>
    <row r="11" spans="1:9" x14ac:dyDescent="0.35">
      <c r="A11" s="23">
        <v>10</v>
      </c>
      <c r="B11" s="24" t="s">
        <v>319</v>
      </c>
      <c r="C11" s="24" t="s">
        <v>320</v>
      </c>
      <c r="D11" s="24" t="s">
        <v>289</v>
      </c>
      <c r="E11" s="24">
        <v>5000</v>
      </c>
      <c r="F11" s="25">
        <v>45462</v>
      </c>
      <c r="G11" s="24"/>
      <c r="H11" s="24"/>
      <c r="I11" s="26"/>
    </row>
    <row r="12" spans="1:9" x14ac:dyDescent="0.35">
      <c r="A12" s="23">
        <v>11</v>
      </c>
      <c r="B12" s="24" t="s">
        <v>296</v>
      </c>
      <c r="C12" s="24" t="s">
        <v>297</v>
      </c>
      <c r="D12" s="24">
        <v>15</v>
      </c>
      <c r="E12" s="24" t="s">
        <v>303</v>
      </c>
      <c r="F12" s="24">
        <v>12000</v>
      </c>
      <c r="G12" s="24"/>
      <c r="H12" s="24"/>
      <c r="I12" s="26"/>
    </row>
    <row r="13" spans="1:9" x14ac:dyDescent="0.35">
      <c r="A13" s="23">
        <v>12</v>
      </c>
      <c r="B13" s="24" t="s">
        <v>321</v>
      </c>
      <c r="C13" s="24" t="s">
        <v>322</v>
      </c>
      <c r="D13" s="24" t="s">
        <v>307</v>
      </c>
      <c r="E13" s="24">
        <v>800</v>
      </c>
      <c r="F13" s="24" t="s">
        <v>323</v>
      </c>
      <c r="G13" s="24"/>
      <c r="H13" s="24"/>
      <c r="I13" s="26"/>
    </row>
    <row r="14" spans="1:9" x14ac:dyDescent="0.35">
      <c r="A14" s="23">
        <v>13</v>
      </c>
      <c r="B14" s="24" t="s">
        <v>58</v>
      </c>
      <c r="C14" s="24" t="s">
        <v>324</v>
      </c>
      <c r="D14" s="24">
        <v>13</v>
      </c>
      <c r="E14" s="24" t="s">
        <v>298</v>
      </c>
      <c r="F14" s="24">
        <v>15000</v>
      </c>
      <c r="G14" s="24" t="s">
        <v>325</v>
      </c>
      <c r="H14" s="24" t="s">
        <v>326</v>
      </c>
      <c r="I14" s="26">
        <v>2024</v>
      </c>
    </row>
    <row r="15" spans="1:9" x14ac:dyDescent="0.35">
      <c r="A15" s="23">
        <v>14</v>
      </c>
      <c r="B15" s="24" t="s">
        <v>327</v>
      </c>
      <c r="C15" s="24" t="s">
        <v>296</v>
      </c>
      <c r="D15" s="24" t="s">
        <v>328</v>
      </c>
      <c r="E15" s="24" t="s">
        <v>289</v>
      </c>
      <c r="F15" s="24">
        <v>22000</v>
      </c>
      <c r="G15" s="24"/>
      <c r="H15" s="24"/>
      <c r="I15" s="26"/>
    </row>
    <row r="16" spans="1:9" x14ac:dyDescent="0.35">
      <c r="A16" s="23">
        <v>15</v>
      </c>
      <c r="B16" s="24" t="s">
        <v>329</v>
      </c>
      <c r="C16" s="24" t="s">
        <v>330</v>
      </c>
      <c r="D16" s="24" t="s">
        <v>331</v>
      </c>
      <c r="E16" s="24" t="s">
        <v>303</v>
      </c>
      <c r="F16" s="24">
        <v>1200</v>
      </c>
      <c r="G16" s="25">
        <v>45168</v>
      </c>
      <c r="H16" s="24"/>
      <c r="I16" s="26"/>
    </row>
    <row r="17" spans="1:9" x14ac:dyDescent="0.35">
      <c r="A17" s="23">
        <v>16</v>
      </c>
      <c r="B17" s="24" t="s">
        <v>332</v>
      </c>
      <c r="C17" s="24" t="s">
        <v>287</v>
      </c>
      <c r="D17" s="24" t="s">
        <v>333</v>
      </c>
      <c r="E17" s="24" t="s">
        <v>307</v>
      </c>
      <c r="F17" s="24">
        <v>9000</v>
      </c>
      <c r="G17" s="24"/>
      <c r="H17" s="24"/>
      <c r="I17" s="26"/>
    </row>
    <row r="18" spans="1:9" x14ac:dyDescent="0.35">
      <c r="A18" s="23">
        <v>17</v>
      </c>
      <c r="B18" s="24" t="s">
        <v>321</v>
      </c>
      <c r="C18" s="24" t="s">
        <v>334</v>
      </c>
      <c r="D18" s="24" t="s">
        <v>298</v>
      </c>
      <c r="E18" s="24">
        <v>1100</v>
      </c>
      <c r="F18" s="25">
        <v>45421</v>
      </c>
      <c r="G18" s="24"/>
      <c r="H18" s="24"/>
      <c r="I18" s="26"/>
    </row>
    <row r="19" spans="1:9" x14ac:dyDescent="0.35">
      <c r="A19" s="23">
        <v>18</v>
      </c>
      <c r="B19" s="24" t="s">
        <v>335</v>
      </c>
      <c r="C19" s="24" t="s">
        <v>315</v>
      </c>
      <c r="D19" s="24" t="s">
        <v>289</v>
      </c>
      <c r="E19" s="24">
        <v>2500</v>
      </c>
      <c r="F19" s="24"/>
      <c r="G19" s="24"/>
      <c r="H19" s="24"/>
      <c r="I19" s="26"/>
    </row>
    <row r="20" spans="1:9" x14ac:dyDescent="0.35">
      <c r="A20" s="23">
        <v>19</v>
      </c>
      <c r="B20" s="24" t="s">
        <v>261</v>
      </c>
      <c r="C20" s="24" t="s">
        <v>336</v>
      </c>
      <c r="D20" s="24" t="s">
        <v>337</v>
      </c>
      <c r="E20" s="24" t="s">
        <v>303</v>
      </c>
      <c r="F20" s="24">
        <v>18000</v>
      </c>
      <c r="G20" s="24"/>
      <c r="H20" s="24"/>
      <c r="I20" s="26"/>
    </row>
    <row r="21" spans="1:9" x14ac:dyDescent="0.35">
      <c r="A21" s="28">
        <v>20</v>
      </c>
      <c r="B21" s="29" t="s">
        <v>338</v>
      </c>
      <c r="C21" s="29" t="s">
        <v>339</v>
      </c>
      <c r="D21" s="29" t="s">
        <v>307</v>
      </c>
      <c r="E21" s="29">
        <v>5000</v>
      </c>
      <c r="F21" s="29" t="s">
        <v>340</v>
      </c>
      <c r="G21" s="29" t="s">
        <v>341</v>
      </c>
      <c r="H21" s="29">
        <v>2024</v>
      </c>
      <c r="I21" s="30"/>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C6972-A18F-4BA3-80BA-02898F772701}">
  <dimension ref="A1:I21"/>
  <sheetViews>
    <sheetView workbookViewId="0">
      <selection activeCell="D8" sqref="A1:I21"/>
    </sheetView>
  </sheetViews>
  <sheetFormatPr defaultRowHeight="14.5" x14ac:dyDescent="0.35"/>
  <cols>
    <col min="1" max="1" width="51.9140625" bestFit="1" customWidth="1"/>
    <col min="3" max="3" width="9.25" customWidth="1"/>
    <col min="7" max="7" width="9.25" customWidth="1"/>
  </cols>
  <sheetData>
    <row r="1" spans="1:9" x14ac:dyDescent="0.35">
      <c r="A1" t="s">
        <v>290</v>
      </c>
      <c r="B1" t="s">
        <v>291</v>
      </c>
      <c r="C1" t="s">
        <v>70</v>
      </c>
      <c r="D1" t="s">
        <v>292</v>
      </c>
      <c r="E1" t="s">
        <v>64</v>
      </c>
      <c r="F1" t="s">
        <v>342</v>
      </c>
      <c r="G1" t="s">
        <v>293</v>
      </c>
      <c r="H1" t="s">
        <v>294</v>
      </c>
      <c r="I1" t="s">
        <v>295</v>
      </c>
    </row>
    <row r="2" spans="1:9" x14ac:dyDescent="0.35">
      <c r="A2">
        <v>1</v>
      </c>
      <c r="B2" t="s">
        <v>296</v>
      </c>
      <c r="C2" t="s">
        <v>297</v>
      </c>
      <c r="D2">
        <v>15</v>
      </c>
      <c r="E2" t="s">
        <v>298</v>
      </c>
      <c r="F2">
        <v>12000</v>
      </c>
      <c r="G2" s="11">
        <v>45261</v>
      </c>
    </row>
    <row r="3" spans="1:9" x14ac:dyDescent="0.35">
      <c r="A3">
        <v>2</v>
      </c>
      <c r="B3" t="s">
        <v>299</v>
      </c>
      <c r="C3" t="s">
        <v>300</v>
      </c>
      <c r="D3" t="s">
        <v>289</v>
      </c>
      <c r="E3">
        <v>800</v>
      </c>
      <c r="F3" t="s">
        <v>343</v>
      </c>
    </row>
    <row r="4" spans="1:9" x14ac:dyDescent="0.35">
      <c r="A4">
        <v>3</v>
      </c>
      <c r="B4" t="s">
        <v>301</v>
      </c>
      <c r="C4" t="s">
        <v>302</v>
      </c>
      <c r="D4">
        <v>13</v>
      </c>
      <c r="E4" t="s">
        <v>303</v>
      </c>
      <c r="F4">
        <v>15000</v>
      </c>
      <c r="G4" t="s">
        <v>304</v>
      </c>
    </row>
    <row r="5" spans="1:9" x14ac:dyDescent="0.35">
      <c r="A5">
        <v>4</v>
      </c>
      <c r="B5" t="s">
        <v>305</v>
      </c>
      <c r="C5" t="s">
        <v>58</v>
      </c>
      <c r="D5" t="s">
        <v>306</v>
      </c>
      <c r="E5" t="s">
        <v>307</v>
      </c>
      <c r="F5">
        <v>22000</v>
      </c>
    </row>
    <row r="6" spans="1:9" x14ac:dyDescent="0.35">
      <c r="A6">
        <v>5</v>
      </c>
      <c r="B6" t="s">
        <v>308</v>
      </c>
      <c r="C6" t="s">
        <v>309</v>
      </c>
      <c r="D6" t="s">
        <v>310</v>
      </c>
      <c r="E6" t="s">
        <v>298</v>
      </c>
      <c r="F6">
        <v>1200</v>
      </c>
      <c r="G6" t="s">
        <v>311</v>
      </c>
      <c r="H6" t="s">
        <v>312</v>
      </c>
      <c r="I6">
        <v>2024</v>
      </c>
    </row>
    <row r="7" spans="1:9" x14ac:dyDescent="0.35">
      <c r="A7">
        <v>6</v>
      </c>
      <c r="B7" t="s">
        <v>286</v>
      </c>
      <c r="C7" t="s">
        <v>287</v>
      </c>
      <c r="D7" t="s">
        <v>288</v>
      </c>
      <c r="E7" t="s">
        <v>289</v>
      </c>
      <c r="F7">
        <v>9000</v>
      </c>
    </row>
    <row r="8" spans="1:9" x14ac:dyDescent="0.35">
      <c r="A8">
        <v>7</v>
      </c>
      <c r="B8" t="s">
        <v>299</v>
      </c>
      <c r="C8" t="s">
        <v>313</v>
      </c>
      <c r="D8" t="s">
        <v>303</v>
      </c>
      <c r="E8">
        <v>1100</v>
      </c>
      <c r="F8" s="19">
        <v>45084</v>
      </c>
    </row>
    <row r="9" spans="1:9" x14ac:dyDescent="0.35">
      <c r="A9">
        <v>8</v>
      </c>
      <c r="B9" t="s">
        <v>314</v>
      </c>
      <c r="C9" t="s">
        <v>315</v>
      </c>
      <c r="D9" t="s">
        <v>307</v>
      </c>
      <c r="E9">
        <v>2500</v>
      </c>
      <c r="F9" t="s">
        <v>169</v>
      </c>
      <c r="G9">
        <v>7</v>
      </c>
      <c r="H9">
        <v>2024</v>
      </c>
    </row>
    <row r="10" spans="1:9" x14ac:dyDescent="0.35">
      <c r="A10">
        <v>9</v>
      </c>
      <c r="B10" t="s">
        <v>316</v>
      </c>
      <c r="C10" t="s">
        <v>317</v>
      </c>
      <c r="D10" t="s">
        <v>318</v>
      </c>
      <c r="E10" t="s">
        <v>298</v>
      </c>
      <c r="F10">
        <v>18000</v>
      </c>
      <c r="G10">
        <v>25</v>
      </c>
      <c r="H10" t="s">
        <v>171</v>
      </c>
      <c r="I10">
        <v>2023</v>
      </c>
    </row>
    <row r="11" spans="1:9" x14ac:dyDescent="0.35">
      <c r="A11">
        <v>10</v>
      </c>
      <c r="B11" t="s">
        <v>319</v>
      </c>
      <c r="C11" t="s">
        <v>320</v>
      </c>
      <c r="D11" t="s">
        <v>289</v>
      </c>
      <c r="E11">
        <v>5000</v>
      </c>
      <c r="F11" s="11">
        <v>45462</v>
      </c>
    </row>
    <row r="12" spans="1:9" x14ac:dyDescent="0.35">
      <c r="A12">
        <v>11</v>
      </c>
      <c r="B12" t="s">
        <v>296</v>
      </c>
      <c r="C12" t="s">
        <v>297</v>
      </c>
      <c r="D12">
        <v>15</v>
      </c>
      <c r="E12" t="s">
        <v>303</v>
      </c>
      <c r="F12">
        <v>12000</v>
      </c>
    </row>
    <row r="13" spans="1:9" x14ac:dyDescent="0.35">
      <c r="A13">
        <v>12</v>
      </c>
      <c r="B13" t="s">
        <v>321</v>
      </c>
      <c r="C13" t="s">
        <v>322</v>
      </c>
      <c r="D13" t="s">
        <v>307</v>
      </c>
      <c r="E13">
        <v>800</v>
      </c>
      <c r="F13" t="s">
        <v>323</v>
      </c>
    </row>
    <row r="14" spans="1:9" x14ac:dyDescent="0.35">
      <c r="A14">
        <v>13</v>
      </c>
      <c r="B14" t="s">
        <v>58</v>
      </c>
      <c r="C14" t="s">
        <v>324</v>
      </c>
      <c r="D14">
        <v>13</v>
      </c>
      <c r="E14" t="s">
        <v>298</v>
      </c>
      <c r="F14">
        <v>15000</v>
      </c>
      <c r="G14" t="s">
        <v>325</v>
      </c>
      <c r="H14" t="s">
        <v>326</v>
      </c>
      <c r="I14">
        <v>2024</v>
      </c>
    </row>
    <row r="15" spans="1:9" x14ac:dyDescent="0.35">
      <c r="A15">
        <v>14</v>
      </c>
      <c r="B15" t="s">
        <v>327</v>
      </c>
      <c r="C15" t="s">
        <v>296</v>
      </c>
      <c r="D15" t="s">
        <v>328</v>
      </c>
      <c r="E15" t="s">
        <v>289</v>
      </c>
      <c r="F15">
        <v>22000</v>
      </c>
    </row>
    <row r="16" spans="1:9" x14ac:dyDescent="0.35">
      <c r="A16">
        <v>15</v>
      </c>
      <c r="B16" t="s">
        <v>329</v>
      </c>
      <c r="C16" t="s">
        <v>330</v>
      </c>
      <c r="D16" t="s">
        <v>331</v>
      </c>
      <c r="E16" t="s">
        <v>303</v>
      </c>
      <c r="F16">
        <v>1200</v>
      </c>
      <c r="G16" t="s">
        <v>344</v>
      </c>
    </row>
    <row r="17" spans="1:8" x14ac:dyDescent="0.35">
      <c r="A17">
        <v>16</v>
      </c>
      <c r="B17" t="s">
        <v>332</v>
      </c>
      <c r="C17" t="s">
        <v>287</v>
      </c>
      <c r="D17" t="s">
        <v>333</v>
      </c>
      <c r="E17" t="s">
        <v>307</v>
      </c>
      <c r="F17">
        <v>9000</v>
      </c>
    </row>
    <row r="18" spans="1:8" x14ac:dyDescent="0.35">
      <c r="A18">
        <v>17</v>
      </c>
      <c r="B18" t="s">
        <v>321</v>
      </c>
      <c r="C18" t="s">
        <v>334</v>
      </c>
      <c r="D18" t="s">
        <v>298</v>
      </c>
      <c r="E18">
        <v>1100</v>
      </c>
      <c r="F18" s="11">
        <v>45540</v>
      </c>
    </row>
    <row r="19" spans="1:8" x14ac:dyDescent="0.35">
      <c r="A19">
        <v>18</v>
      </c>
      <c r="B19" t="s">
        <v>335</v>
      </c>
      <c r="C19" t="s">
        <v>315</v>
      </c>
      <c r="D19" t="s">
        <v>289</v>
      </c>
      <c r="E19">
        <v>2500</v>
      </c>
    </row>
    <row r="20" spans="1:8" x14ac:dyDescent="0.35">
      <c r="A20">
        <v>19</v>
      </c>
      <c r="B20" t="s">
        <v>261</v>
      </c>
      <c r="C20" t="s">
        <v>336</v>
      </c>
      <c r="D20" t="s">
        <v>337</v>
      </c>
      <c r="E20" t="s">
        <v>303</v>
      </c>
      <c r="F20">
        <v>18000</v>
      </c>
    </row>
    <row r="21" spans="1:8" x14ac:dyDescent="0.35">
      <c r="A21">
        <v>20</v>
      </c>
      <c r="B21" t="s">
        <v>338</v>
      </c>
      <c r="C21" t="s">
        <v>339</v>
      </c>
      <c r="D21" t="s">
        <v>307</v>
      </c>
      <c r="E21">
        <v>5000</v>
      </c>
      <c r="F21" t="s">
        <v>340</v>
      </c>
      <c r="G21" t="s">
        <v>341</v>
      </c>
      <c r="H21">
        <v>2024</v>
      </c>
    </row>
  </sheetData>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2529" r:id="rId3" name="Button 1">
              <controlPr defaultSize="0" print="0" autoFill="0" autoPict="0" macro="[0]!Format_Table">
                <anchor moveWithCells="1">
                  <from>
                    <xdr:col>9</xdr:col>
                    <xdr:colOff>302821</xdr:colOff>
                    <xdr:row>4</xdr:row>
                    <xdr:rowOff>65314</xdr:rowOff>
                  </from>
                  <to>
                    <xdr:col>10</xdr:col>
                    <xdr:colOff>599704</xdr:colOff>
                    <xdr:row>7</xdr:row>
                    <xdr:rowOff>11875</xdr:rowOff>
                  </to>
                </anchor>
              </controlPr>
            </control>
          </mc:Choice>
        </mc:AlternateContent>
      </controls>
    </mc:Choice>
  </mc:AlternateContent>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DBB0C-F125-4D04-A27C-7E90BAF5ABE3}">
  <dimension ref="A2:F4"/>
  <sheetViews>
    <sheetView workbookViewId="0">
      <selection activeCell="C6" sqref="C6"/>
    </sheetView>
  </sheetViews>
  <sheetFormatPr defaultRowHeight="14.5" x14ac:dyDescent="0.35"/>
  <cols>
    <col min="2" max="2" width="10.08203125" bestFit="1" customWidth="1"/>
    <col min="3" max="3" width="7.25" bestFit="1" customWidth="1"/>
  </cols>
  <sheetData>
    <row r="2" spans="1:6" x14ac:dyDescent="0.35">
      <c r="A2" t="s">
        <v>346</v>
      </c>
      <c r="B2" t="s">
        <v>345</v>
      </c>
    </row>
    <row r="3" spans="1:6" x14ac:dyDescent="0.35">
      <c r="A3">
        <v>2</v>
      </c>
      <c r="B3">
        <v>6</v>
      </c>
    </row>
    <row r="4" spans="1:6" x14ac:dyDescent="0.35">
      <c r="E4" t="s">
        <v>347</v>
      </c>
      <c r="F4">
        <f>SUM(A3,B3)</f>
        <v>8</v>
      </c>
    </row>
  </sheetData>
  <sheetProtection sheet="1" objects="1" scenarios="1"/>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17D64-379F-4877-AFB1-12D1B43C54E9}">
  <dimension ref="A1:C12"/>
  <sheetViews>
    <sheetView workbookViewId="0">
      <selection activeCell="B12" sqref="B12"/>
    </sheetView>
  </sheetViews>
  <sheetFormatPr defaultRowHeight="14.5" x14ac:dyDescent="0.35"/>
  <cols>
    <col min="1" max="1" width="11.25" bestFit="1" customWidth="1"/>
    <col min="2" max="2" width="20" bestFit="1" customWidth="1"/>
    <col min="3" max="3" width="10.83203125" bestFit="1" customWidth="1"/>
  </cols>
  <sheetData>
    <row r="1" spans="1:3" x14ac:dyDescent="0.35">
      <c r="A1" t="s">
        <v>257</v>
      </c>
      <c r="B1" t="s">
        <v>258</v>
      </c>
      <c r="C1" t="s">
        <v>259</v>
      </c>
    </row>
    <row r="2" spans="1:3" x14ac:dyDescent="0.35">
      <c r="A2" t="s">
        <v>2</v>
      </c>
      <c r="B2" t="s">
        <v>240</v>
      </c>
      <c r="C2" t="s">
        <v>58</v>
      </c>
    </row>
    <row r="3" spans="1:3" x14ac:dyDescent="0.35">
      <c r="A3" t="s">
        <v>3</v>
      </c>
      <c r="B3" t="s">
        <v>255</v>
      </c>
      <c r="C3" t="s">
        <v>58</v>
      </c>
    </row>
    <row r="4" spans="1:3" x14ac:dyDescent="0.35">
      <c r="A4" t="s">
        <v>4</v>
      </c>
      <c r="B4" t="s">
        <v>260</v>
      </c>
      <c r="C4" t="s">
        <v>58</v>
      </c>
    </row>
    <row r="5" spans="1:3" x14ac:dyDescent="0.35">
      <c r="A5" t="s">
        <v>5</v>
      </c>
      <c r="B5" t="s">
        <v>247</v>
      </c>
      <c r="C5" t="s">
        <v>261</v>
      </c>
    </row>
    <row r="6" spans="1:3" x14ac:dyDescent="0.35">
      <c r="A6" t="s">
        <v>6</v>
      </c>
      <c r="B6" t="s">
        <v>243</v>
      </c>
      <c r="C6" t="s">
        <v>262</v>
      </c>
    </row>
    <row r="7" spans="1:3" x14ac:dyDescent="0.35">
      <c r="A7" t="s">
        <v>7</v>
      </c>
      <c r="B7" t="s">
        <v>245</v>
      </c>
      <c r="C7" t="s">
        <v>262</v>
      </c>
    </row>
    <row r="8" spans="1:3" x14ac:dyDescent="0.35">
      <c r="A8" t="s">
        <v>8</v>
      </c>
      <c r="B8" t="s">
        <v>246</v>
      </c>
      <c r="C8" t="s">
        <v>263</v>
      </c>
    </row>
    <row r="9" spans="1:3" x14ac:dyDescent="0.35">
      <c r="A9" t="s">
        <v>9</v>
      </c>
      <c r="B9" t="s">
        <v>244</v>
      </c>
      <c r="C9" t="s">
        <v>262</v>
      </c>
    </row>
    <row r="10" spans="1:3" x14ac:dyDescent="0.35">
      <c r="A10" t="s">
        <v>10</v>
      </c>
      <c r="B10" t="s">
        <v>256</v>
      </c>
      <c r="C10" t="s">
        <v>264</v>
      </c>
    </row>
    <row r="11" spans="1:3" x14ac:dyDescent="0.35">
      <c r="A11" t="s">
        <v>11</v>
      </c>
      <c r="B11" t="s">
        <v>248</v>
      </c>
      <c r="C11" t="s">
        <v>265</v>
      </c>
    </row>
    <row r="12" spans="1:3" x14ac:dyDescent="0.35">
      <c r="A12" t="s">
        <v>348</v>
      </c>
      <c r="B12" t="s">
        <v>349</v>
      </c>
      <c r="C12" t="s">
        <v>350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A47816-5F18-4BB0-AD79-814BD0D521F7}">
  <dimension ref="A1:G6"/>
  <sheetViews>
    <sheetView tabSelected="1" workbookViewId="0">
      <selection activeCell="F8" sqref="F7:F8"/>
    </sheetView>
  </sheetViews>
  <sheetFormatPr defaultRowHeight="14.5" x14ac:dyDescent="0.35"/>
  <cols>
    <col min="1" max="1" width="4.6640625" bestFit="1" customWidth="1"/>
    <col min="2" max="2" width="9.1640625" bestFit="1" customWidth="1"/>
    <col min="3" max="3" width="10.1640625" bestFit="1" customWidth="1"/>
    <col min="4" max="4" width="10.25" bestFit="1" customWidth="1"/>
    <col min="7" max="7" width="11" bestFit="1" customWidth="1"/>
  </cols>
  <sheetData>
    <row r="1" spans="1:7" x14ac:dyDescent="0.35">
      <c r="A1" t="s">
        <v>351</v>
      </c>
      <c r="B1" t="s">
        <v>228</v>
      </c>
      <c r="C1" t="s">
        <v>352</v>
      </c>
      <c r="D1" t="s">
        <v>353</v>
      </c>
    </row>
    <row r="2" spans="1:7" x14ac:dyDescent="0.35">
      <c r="A2">
        <v>1</v>
      </c>
      <c r="B2" s="31">
        <v>1250</v>
      </c>
      <c r="C2">
        <v>5</v>
      </c>
      <c r="D2" s="12">
        <v>0.1</v>
      </c>
    </row>
    <row r="3" spans="1:7" x14ac:dyDescent="0.35">
      <c r="A3">
        <v>2</v>
      </c>
      <c r="B3" s="31">
        <v>2500</v>
      </c>
      <c r="C3">
        <v>3</v>
      </c>
      <c r="D3" s="12">
        <v>0.05</v>
      </c>
    </row>
    <row r="4" spans="1:7" x14ac:dyDescent="0.35">
      <c r="A4">
        <v>3</v>
      </c>
      <c r="B4" s="31">
        <v>3000</v>
      </c>
      <c r="C4">
        <v>2</v>
      </c>
      <c r="D4" s="12">
        <v>0</v>
      </c>
    </row>
    <row r="5" spans="1:7" x14ac:dyDescent="0.35">
      <c r="A5">
        <v>4</v>
      </c>
      <c r="B5" s="31">
        <v>4750</v>
      </c>
      <c r="C5">
        <v>7</v>
      </c>
      <c r="D5" s="12">
        <v>0.15</v>
      </c>
    </row>
    <row r="6" spans="1:7" x14ac:dyDescent="0.35">
      <c r="A6">
        <v>5</v>
      </c>
      <c r="B6" s="31">
        <v>6100</v>
      </c>
      <c r="C6">
        <v>4</v>
      </c>
      <c r="D6" s="12">
        <v>0.08</v>
      </c>
      <c r="G6" s="32">
        <f>SUM(ID_Sales_Quantity_Discount[Sales])</f>
        <v>17600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372E0-C323-4B42-AF68-16001F270633}">
  <dimension ref="A1"/>
  <sheetViews>
    <sheetView workbookViewId="0"/>
  </sheetViews>
  <sheetFormatPr defaultRowHeight="14.5" x14ac:dyDescent="0.35"/>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876BC0-954F-4024-9A0F-BEED55F08678}">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1DF32F53-A91E-42EA-A928-93E6FD49CE8D}">
  <ds:schemaRefs/>
</ds:datastoreItem>
</file>

<file path=customXml/itemProps2.xml><?xml version="1.0" encoding="utf-8"?>
<ds:datastoreItem xmlns:ds="http://schemas.openxmlformats.org/officeDocument/2006/customXml" ds:itemID="{29BAE0CE-0509-4F8E-8313-065959DBBF7C}">
  <ds:schemaRefs/>
</ds:datastoreItem>
</file>

<file path=customXml/itemProps3.xml><?xml version="1.0" encoding="utf-8"?>
<ds:datastoreItem xmlns:ds="http://schemas.openxmlformats.org/officeDocument/2006/customXml" ds:itemID="{2B38EDAC-0787-4AAD-B14C-9DDB9523BAF1}">
  <ds:schemaRefs/>
</ds:datastoreItem>
</file>

<file path=customXml/itemProps4.xml><?xml version="1.0" encoding="utf-8"?>
<ds:datastoreItem xmlns:ds="http://schemas.openxmlformats.org/officeDocument/2006/customXml" ds:itemID="{358DBD1C-1619-455E-BC72-41EAA57DEDD9}">
  <ds:schemaRefs/>
</ds:datastoreItem>
</file>

<file path=customXml/itemProps5.xml><?xml version="1.0" encoding="utf-8"?>
<ds:datastoreItem xmlns:ds="http://schemas.openxmlformats.org/officeDocument/2006/customXml" ds:itemID="{71E9EC89-16C7-4100-BF2C-FCABF914EDCF}">
  <ds:schemaRefs/>
</ds:datastoreItem>
</file>

<file path=customXml/itemProps6.xml><?xml version="1.0" encoding="utf-8"?>
<ds:datastoreItem xmlns:ds="http://schemas.openxmlformats.org/officeDocument/2006/customXml" ds:itemID="{3CB5B582-591E-4B4F-B564-9A92E5141D9A}">
  <ds:schemaRefs/>
</ds:datastoreItem>
</file>

<file path=customXml/itemProps7.xml><?xml version="1.0" encoding="utf-8"?>
<ds:datastoreItem xmlns:ds="http://schemas.openxmlformats.org/officeDocument/2006/customXml" ds:itemID="{78CAA1D1-EB07-4ED0-AAB6-D84302CA73DE}">
  <ds:schemaRefs/>
</ds:datastoreItem>
</file>

<file path=customXml/itemProps8.xml><?xml version="1.0" encoding="utf-8"?>
<ds:datastoreItem xmlns:ds="http://schemas.openxmlformats.org/officeDocument/2006/customXml" ds:itemID="{063833C8-03CB-428A-8370-B6CCD683F41E}">
  <ds:schemaRefs/>
</ds:datastoreItem>
</file>

<file path=customXml/itemProps9.xml><?xml version="1.0" encoding="utf-8"?>
<ds:datastoreItem xmlns:ds="http://schemas.openxmlformats.org/officeDocument/2006/customXml" ds:itemID="{EA517EEF-9B26-41EC-933D-6C4EEDF362C1}">
  <ds:schemaRefs/>
</ds:datastoreItem>
</file>

<file path=customXml/itemProps10.xml><?xml version="1.0" encoding="utf-8"?>
<ds:datastoreItem xmlns:ds="http://schemas.openxmlformats.org/officeDocument/2006/customXml" ds:itemID="{EEC3A760-9297-4334-96C9-2921D5D22D67}">
  <ds:schemaRefs/>
</ds:datastoreItem>
</file>

<file path=customXml/itemProps11.xml><?xml version="1.0" encoding="utf-8"?>
<ds:datastoreItem xmlns:ds="http://schemas.openxmlformats.org/officeDocument/2006/customXml" ds:itemID="{E12F2B16-8851-45C8-B7C5-6ECEAAB86058}">
  <ds:schemaRefs/>
</ds:datastoreItem>
</file>

<file path=customXml/itemProps12.xml><?xml version="1.0" encoding="utf-8"?>
<ds:datastoreItem xmlns:ds="http://schemas.openxmlformats.org/officeDocument/2006/customXml" ds:itemID="{A39E9123-C966-4C27-BD96-8738598C9B3B}">
  <ds:schemaRefs/>
</ds:datastoreItem>
</file>

<file path=customXml/itemProps13.xml><?xml version="1.0" encoding="utf-8"?>
<ds:datastoreItem xmlns:ds="http://schemas.openxmlformats.org/officeDocument/2006/customXml" ds:itemID="{A32469BA-C88F-41BD-84B9-597D11F79A51}">
  <ds:schemaRefs/>
</ds:datastoreItem>
</file>

<file path=customXml/itemProps14.xml><?xml version="1.0" encoding="utf-8"?>
<ds:datastoreItem xmlns:ds="http://schemas.openxmlformats.org/officeDocument/2006/customXml" ds:itemID="{1F477C01-EDD0-4048-BF05-407933D80783}">
  <ds:schemaRefs/>
</ds:datastoreItem>
</file>

<file path=customXml/itemProps15.xml><?xml version="1.0" encoding="utf-8"?>
<ds:datastoreItem xmlns:ds="http://schemas.openxmlformats.org/officeDocument/2006/customXml" ds:itemID="{DA3B6244-F317-4A19-B6B4-95249FF7E934}">
  <ds:schemaRefs/>
</ds:datastoreItem>
</file>

<file path=customXml/itemProps16.xml><?xml version="1.0" encoding="utf-8"?>
<ds:datastoreItem xmlns:ds="http://schemas.openxmlformats.org/officeDocument/2006/customXml" ds:itemID="{08A094EC-2289-42CE-A4F1-B5DC0D5A4255}">
  <ds:schemaRefs/>
</ds:datastoreItem>
</file>

<file path=customXml/itemProps17.xml><?xml version="1.0" encoding="utf-8"?>
<ds:datastoreItem xmlns:ds="http://schemas.openxmlformats.org/officeDocument/2006/customXml" ds:itemID="{678E9785-CAAC-4F0A-AAB4-F4E62CCE46E8}">
  <ds:schemaRefs/>
</ds:datastoreItem>
</file>

<file path=customXml/itemProps18.xml><?xml version="1.0" encoding="utf-8"?>
<ds:datastoreItem xmlns:ds="http://schemas.openxmlformats.org/officeDocument/2006/customXml" ds:itemID="{D24AFF6F-3713-4693-B5FD-8E7D49BDA093}">
  <ds:schemaRefs/>
</ds:datastoreItem>
</file>

<file path=customXml/itemProps19.xml><?xml version="1.0" encoding="utf-8"?>
<ds:datastoreItem xmlns:ds="http://schemas.openxmlformats.org/officeDocument/2006/customXml" ds:itemID="{993BB890-2A96-4DEB-8CF4-5CD368F64546}">
  <ds:schemaRefs/>
</ds:datastoreItem>
</file>

<file path=customXml/itemProps20.xml><?xml version="1.0" encoding="utf-8"?>
<ds:datastoreItem xmlns:ds="http://schemas.openxmlformats.org/officeDocument/2006/customXml" ds:itemID="{24482CFD-CFC7-418C-A2FC-B831B299881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pivot_tables</vt:lpstr>
      <vt:lpstr>pie chart</vt:lpstr>
      <vt:lpstr>line chart</vt:lpstr>
      <vt:lpstr>bar_chart</vt:lpstr>
      <vt:lpstr>sales_table</vt:lpstr>
      <vt:lpstr>sparklines</vt:lpstr>
      <vt:lpstr>region code</vt:lpstr>
      <vt:lpstr>product_catsubcat</vt:lpstr>
      <vt:lpstr>sales_profit_relation</vt:lpstr>
      <vt:lpstr>cond_form</vt:lpstr>
      <vt:lpstr>Name_range</vt:lpstr>
      <vt:lpstr>sales_data</vt:lpstr>
      <vt:lpstr>returns</vt:lpstr>
      <vt:lpstr>Sheet2</vt:lpstr>
      <vt:lpstr>region_dateils</vt:lpstr>
      <vt:lpstr>products_details</vt:lpstr>
      <vt:lpstr>mar_apr_sales</vt:lpstr>
      <vt:lpstr>jan_feb_sales</vt:lpstr>
      <vt:lpstr>named_range</vt:lpstr>
      <vt:lpstr>data validation</vt:lpstr>
      <vt:lpstr>macro creation</vt:lpstr>
      <vt:lpstr>macro testing</vt:lpstr>
      <vt:lpstr>Sheet6</vt:lpstr>
      <vt:lpstr>Sheet9</vt:lpstr>
      <vt:lpstr>Sheet10</vt:lpstr>
      <vt:lpstr>refreshing connection </vt:lpstr>
      <vt:lpstr>Sheet8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Sagar Neelappa Beedi</dc:creator>
  <cp:lastModifiedBy>3525</cp:lastModifiedBy>
  <dcterms:created xsi:type="dcterms:W3CDTF">2015-06-05T18:17:20Z</dcterms:created>
  <dcterms:modified xsi:type="dcterms:W3CDTF">2025-12-18T07:46:34Z</dcterms:modified>
</cp:coreProperties>
</file>