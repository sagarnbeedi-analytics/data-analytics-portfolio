
<file path=[Content_Types].xml><?xml version="1.0" encoding="utf-8"?>
<Types xmlns="http://schemas.openxmlformats.org/package/2006/content-type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data-analytics-porfolio\data-analytics-portfolio\EXCEL\"/>
    </mc:Choice>
  </mc:AlternateContent>
  <xr:revisionPtr revIDLastSave="0" documentId="13_ncr:1_{350EBA63-E8AD-45DB-A6ED-7E70DA79779A}" xr6:coauthVersionLast="36" xr6:coauthVersionMax="36" xr10:uidLastSave="{00000000-0000-0000-0000-000000000000}"/>
  <bookViews>
    <workbookView xWindow="0" yWindow="0" windowWidth="22264" windowHeight="12642" firstSheet="1" activeTab="6" xr2:uid="{00000000-000D-0000-FFFF-FFFF00000000}"/>
  </bookViews>
  <sheets>
    <sheet name="pivot_tables" sheetId="17" r:id="rId1"/>
    <sheet name="pie chart" sheetId="20" r:id="rId2"/>
    <sheet name="line chart" sheetId="24" r:id="rId3"/>
    <sheet name="sales_table" sheetId="30" r:id="rId4"/>
    <sheet name="region code" sheetId="21" r:id="rId5"/>
    <sheet name="product_catsubcat" sheetId="22" r:id="rId6"/>
    <sheet name="sales_profit_relation" sheetId="31" r:id="rId7"/>
  </sheets>
  <definedNames>
    <definedName name="_xlcn.WorksheetConnection_Excel_practice_set.xlsxTable11" hidden="1">Table1[]</definedName>
    <definedName name="_xlcn.WorksheetConnection_Excel_practice_set.xlsxTable121" hidden="1">Table12</definedName>
    <definedName name="_xlcn.WorksheetConnection_Excel_practice_set.xlsxTable61" hidden="1">Table6[]</definedName>
    <definedName name="Slicer_Product_Name">#N/A</definedName>
    <definedName name="Slicer_region">#N/A</definedName>
  </definedNames>
  <calcPr calcId="191029"/>
  <pivotCaches>
    <pivotCache cacheId="0" r:id="rId8"/>
    <pivotCache cacheId="1" r:id="rId9"/>
    <pivotCache cacheId="22" r:id="rId10"/>
    <pivotCache cacheId="25"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2" name="products_sale_table" connection="WorksheetConnection_Excel_practice_set.xlsx!Table12"/>
          <x15:modelTable id="Table1" name="region_code_table" connection="WorksheetConnection_Excel_practice_set.xlsx!Table1"/>
          <x15:modelTable id="Table6" name="pro_sub_cat" connection="WorksheetConnection_Excel_practice_set.xlsx!Table6"/>
        </x15:modelTables>
        <x15:modelRelationships>
          <x15:modelRelationship fromTable="products_sale_table" fromColumn="region" toTable="region_code_table" toColumn="region"/>
          <x15:modelRelationship fromTable="products_sale_table" fromColumn="Product ID" toTable="pro_sub_cat" toColumn="Product 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C3E3F63-462F-44FF-A21D-23D50819D82B}"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BF76349-BA8C-4A2D-8871-36A0D402EFE7}" name="WorksheetConnection_Excel_practice_set.xlsx!Table1" type="102" refreshedVersion="6" minRefreshableVersion="5">
    <extLst>
      <ext xmlns:x15="http://schemas.microsoft.com/office/spreadsheetml/2010/11/main" uri="{DE250136-89BD-433C-8126-D09CA5730AF9}">
        <x15:connection id="Table1">
          <x15:rangePr sourceName="_xlcn.WorksheetConnection_Excel_practice_set.xlsxTable11"/>
        </x15:connection>
      </ext>
    </extLst>
  </connection>
  <connection id="3" xr16:uid="{167D8BBC-390E-40D3-9EBF-084097DD59B7}" name="WorksheetConnection_Excel_practice_set.xlsx!Table12" type="102" refreshedVersion="6" minRefreshableVersion="5">
    <extLst>
      <ext xmlns:x15="http://schemas.microsoft.com/office/spreadsheetml/2010/11/main" uri="{DE250136-89BD-433C-8126-D09CA5730AF9}">
        <x15:connection id="Table12">
          <x15:rangePr sourceName="_xlcn.WorksheetConnection_Excel_practice_set.xlsxTable121"/>
        </x15:connection>
      </ext>
    </extLst>
  </connection>
  <connection id="4" xr16:uid="{F995CE46-96AC-4AED-8C8A-21CC373F59BD}" name="WorksheetConnection_Excel_practice_set.xlsx!Table6" type="102" refreshedVersion="6" minRefreshableVersion="5">
    <extLst>
      <ext xmlns:x15="http://schemas.microsoft.com/office/spreadsheetml/2010/11/main" uri="{DE250136-89BD-433C-8126-D09CA5730AF9}">
        <x15:connection id="Table6">
          <x15:rangePr sourceName="_xlcn.WorksheetConnection_Excel_practice_set.xlsxTable61"/>
        </x15:connection>
      </ext>
    </extLst>
  </connection>
</connections>
</file>

<file path=xl/sharedStrings.xml><?xml version="1.0" encoding="utf-8"?>
<sst xmlns="http://schemas.openxmlformats.org/spreadsheetml/2006/main" count="397" uniqueCount="174">
  <si>
    <t>Product ID</t>
  </si>
  <si>
    <t>Product Name</t>
  </si>
  <si>
    <t>P001</t>
  </si>
  <si>
    <t>P002</t>
  </si>
  <si>
    <t>P003</t>
  </si>
  <si>
    <t>P004</t>
  </si>
  <si>
    <t>P005</t>
  </si>
  <si>
    <t>P006</t>
  </si>
  <si>
    <t>P007</t>
  </si>
  <si>
    <t>P008</t>
  </si>
  <si>
    <t>P009</t>
  </si>
  <si>
    <t>P010</t>
  </si>
  <si>
    <t>P011</t>
  </si>
  <si>
    <t>P012</t>
  </si>
  <si>
    <t>P013</t>
  </si>
  <si>
    <t>P014</t>
  </si>
  <si>
    <t>P015</t>
  </si>
  <si>
    <t>P016</t>
  </si>
  <si>
    <t>P017</t>
  </si>
  <si>
    <t>P018</t>
  </si>
  <si>
    <t>P019</t>
  </si>
  <si>
    <t>P020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</si>
  <si>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</si>
  <si>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</si>
  <si>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</si>
  <si>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</si>
  <si>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</si>
  <si>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</si>
  <si>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</si>
  <si>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</si>
  <si>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</si>
  <si>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</si>
  <si>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</si>
  <si>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</si>
  <si>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</si>
  <si>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</si>
  <si>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</si>
  <si>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</si>
  <si>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</si>
  <si>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</si>
  <si>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</si>
  <si>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</si>
  <si>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</si>
  <si>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</si>
  <si>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</si>
  <si>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</si>
  <si>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</si>
  <si>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</si>
  <si>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</si>
  <si>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</si>
  <si>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</si>
  <si>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</si>
  <si>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North</t>
  </si>
  <si>
    <t>South</t>
  </si>
  <si>
    <t>East</t>
  </si>
  <si>
    <t>West</t>
  </si>
  <si>
    <t>Central</t>
  </si>
  <si>
    <t>International</t>
  </si>
  <si>
    <t>Laptop</t>
  </si>
  <si>
    <t>Mobile Phone</t>
  </si>
  <si>
    <t>Tablet</t>
  </si>
  <si>
    <t>Smart Watch</t>
  </si>
  <si>
    <t>Headphones</t>
  </si>
  <si>
    <t>Printer</t>
  </si>
  <si>
    <t>region</t>
  </si>
  <si>
    <t>total sales</t>
  </si>
  <si>
    <t>Sum of total sales</t>
  </si>
  <si>
    <t>sale_date</t>
  </si>
  <si>
    <t>regions</t>
  </si>
  <si>
    <t>Total_sale_by_region</t>
  </si>
  <si>
    <t>product</t>
  </si>
  <si>
    <t>region-porduct</t>
  </si>
  <si>
    <t xml:space="preserve">Central        </t>
  </si>
  <si>
    <t xml:space="preserve"> CEN</t>
  </si>
  <si>
    <t xml:space="preserve">East           </t>
  </si>
  <si>
    <t xml:space="preserve"> EAS</t>
  </si>
  <si>
    <t xml:space="preserve">International  </t>
  </si>
  <si>
    <t xml:space="preserve"> INT</t>
  </si>
  <si>
    <t xml:space="preserve">North          </t>
  </si>
  <si>
    <t xml:space="preserve"> NOR</t>
  </si>
  <si>
    <t xml:space="preserve">South          </t>
  </si>
  <si>
    <t xml:space="preserve"> SOU</t>
  </si>
  <si>
    <t xml:space="preserve">West           </t>
  </si>
  <si>
    <t xml:space="preserve"> WES</t>
  </si>
  <si>
    <t>code</t>
  </si>
  <si>
    <t xml:space="preserve">Product ID </t>
  </si>
  <si>
    <t xml:space="preserve"> Subcategory</t>
  </si>
  <si>
    <t xml:space="preserve">P001 </t>
  </si>
  <si>
    <t xml:space="preserve"> Computers</t>
  </si>
  <si>
    <t xml:space="preserve">P002 </t>
  </si>
  <si>
    <t xml:space="preserve"> Mobile Devices</t>
  </si>
  <si>
    <t xml:space="preserve">P003 </t>
  </si>
  <si>
    <t xml:space="preserve">P004 </t>
  </si>
  <si>
    <t xml:space="preserve"> Wearables</t>
  </si>
  <si>
    <t xml:space="preserve">P005 </t>
  </si>
  <si>
    <t xml:space="preserve"> Audio Accessories</t>
  </si>
  <si>
    <t xml:space="preserve">P006 </t>
  </si>
  <si>
    <t xml:space="preserve"> Office Equipment</t>
  </si>
  <si>
    <t xml:space="preserve">P007 </t>
  </si>
  <si>
    <t xml:space="preserve">P008 </t>
  </si>
  <si>
    <t xml:space="preserve">P009 </t>
  </si>
  <si>
    <t xml:space="preserve">P010 </t>
  </si>
  <si>
    <t xml:space="preserve">P011 </t>
  </si>
  <si>
    <t xml:space="preserve">P012 </t>
  </si>
  <si>
    <t xml:space="preserve">P013 </t>
  </si>
  <si>
    <t xml:space="preserve">P014 </t>
  </si>
  <si>
    <t xml:space="preserve">P015 </t>
  </si>
  <si>
    <t xml:space="preserve">P016 </t>
  </si>
  <si>
    <t xml:space="preserve">P017 </t>
  </si>
  <si>
    <t xml:space="preserve">P018 </t>
  </si>
  <si>
    <t xml:space="preserve">P019 </t>
  </si>
  <si>
    <t xml:space="preserve">P020 </t>
  </si>
  <si>
    <t xml:space="preserve">P021 </t>
  </si>
  <si>
    <t xml:space="preserve">P022 </t>
  </si>
  <si>
    <t xml:space="preserve">P023 </t>
  </si>
  <si>
    <t xml:space="preserve">P024 </t>
  </si>
  <si>
    <t xml:space="preserve">P025 </t>
  </si>
  <si>
    <t xml:space="preserve">P026 </t>
  </si>
  <si>
    <t xml:space="preserve">P027 </t>
  </si>
  <si>
    <t xml:space="preserve">P028 </t>
  </si>
  <si>
    <t xml:space="preserve">P029 </t>
  </si>
  <si>
    <t xml:space="preserve">P030 </t>
  </si>
  <si>
    <t xml:space="preserve">P031 </t>
  </si>
  <si>
    <t xml:space="preserve">P032 </t>
  </si>
  <si>
    <t xml:space="preserve">P033 </t>
  </si>
  <si>
    <t xml:space="preserve">P034 </t>
  </si>
  <si>
    <t xml:space="preserve">P035 </t>
  </si>
  <si>
    <t xml:space="preserve">P036 </t>
  </si>
  <si>
    <t xml:space="preserve">P037 </t>
  </si>
  <si>
    <t xml:space="preserve">P038 </t>
  </si>
  <si>
    <t xml:space="preserve">P039 </t>
  </si>
  <si>
    <t xml:space="preserve">P040 </t>
  </si>
  <si>
    <t xml:space="preserve">P041 </t>
  </si>
  <si>
    <t xml:space="preserve">P042 </t>
  </si>
  <si>
    <t xml:space="preserve">P043 </t>
  </si>
  <si>
    <t xml:space="preserve">P044 </t>
  </si>
  <si>
    <t xml:space="preserve">P045 </t>
  </si>
  <si>
    <t xml:space="preserve">P046 </t>
  </si>
  <si>
    <t xml:space="preserve">P047 </t>
  </si>
  <si>
    <t xml:space="preserve">P048 </t>
  </si>
  <si>
    <t xml:space="preserve">P049 </t>
  </si>
  <si>
    <t xml:space="preserve">P050 </t>
  </si>
  <si>
    <t>month of sale</t>
  </si>
  <si>
    <t>Row Labels</t>
  </si>
  <si>
    <t>May</t>
  </si>
  <si>
    <t>Grand Total</t>
  </si>
  <si>
    <t>January-2023</t>
  </si>
  <si>
    <t>February-2023</t>
  </si>
  <si>
    <t>March-2023</t>
  </si>
  <si>
    <t>April-2023</t>
  </si>
  <si>
    <t>May-2023</t>
  </si>
  <si>
    <t>June-2023</t>
  </si>
  <si>
    <t>July-2023</t>
  </si>
  <si>
    <t>January-2024</t>
  </si>
  <si>
    <t>February-2024</t>
  </si>
  <si>
    <t>March-2024</t>
  </si>
  <si>
    <t>April-2024</t>
  </si>
  <si>
    <t>May-2024</t>
  </si>
  <si>
    <t>month</t>
  </si>
  <si>
    <t xml:space="preserve"> Cost Price</t>
  </si>
  <si>
    <t>progfit</t>
  </si>
  <si>
    <t>Profit %</t>
  </si>
  <si>
    <t>2023</t>
  </si>
  <si>
    <t>Qtr1</t>
  </si>
  <si>
    <t>Jan</t>
  </si>
  <si>
    <t>Feb</t>
  </si>
  <si>
    <t>Mar</t>
  </si>
  <si>
    <t>Qtr2</t>
  </si>
  <si>
    <t>Apr</t>
  </si>
  <si>
    <t>Jun</t>
  </si>
  <si>
    <t>Qtr3</t>
  </si>
  <si>
    <t>Jul</t>
  </si>
  <si>
    <t>2024</t>
  </si>
  <si>
    <t>Sum of Profit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</si>
</sst>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0.0000000000"/>
  </numFmts>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Alignment="1"/>
    <xf numFmtId="0" fontId="0" fillId="0" borderId="0" xfId="0" pivotButton="1"/>
    <xf numFmtId="0" fontId="0" fillId="0" borderId="0" xfId="0" applyAlignment="1">
      <alignment horizontal="left"/>
    </xf>
    <xf numFmtId="0" fontId="0" fillId="0" borderId="0" xfId="0" applyNumberFormat="1"/>
    <xf numFmtId="0" fontId="0" fillId="0" borderId="1" xfId="0" pivotButton="1" applyBorder="1"/>
    <xf numFmtId="0" fontId="0" fillId="0" borderId="1" xfId="0" applyBorder="1"/>
    <xf numFmtId="0" fontId="0" fillId="0" borderId="1" xfId="0" applyBorder="1" applyAlignment="1">
      <alignment horizontal="left"/>
    </xf>
    <xf numFmtId="0" fontId="0" fillId="0" borderId="1" xfId="0" applyNumberFormat="1" applyBorder="1"/>
    <xf numFmtId="0" fontId="0" fillId="0" borderId="1" xfId="0" applyBorder="1" applyAlignment="1">
      <alignment horizontal="left" indent="1"/>
    </xf>
    <xf numFmtId="14" fontId="0" fillId="0" borderId="0" xfId="0" applyNumberFormat="1" applyAlignment="1"/>
    <xf numFmtId="14" fontId="0" fillId="0" borderId="0" xfId="0" applyNumberFormat="1"/>
    <xf numFmtId="9" fontId="0" fillId="0" borderId="0" xfId="1" applyFont="1"/>
    <xf numFmtId="9" fontId="0" fillId="0" borderId="0" xfId="1" applyFont="1" applyAlignment="1"/>
    <xf numFmtId="0" fontId="0" fillId="0" borderId="0" xfId="0" applyAlignment="1">
      <alignment horizontal="left" indent="1"/>
    </xf>
    <xf numFmtId="14" fontId="0" fillId="0" borderId="0" xfId="0" applyNumberFormat="1" applyAlignment="1">
      <alignment horizontal="left" indent="2"/>
    </xf>
    <xf numFmtId="166" fontId="0" fillId="0" borderId="0" xfId="0" applyNumberFormat="1"/>
  </cellXfs>
  <cellStyles count="2">
    <cellStyle name="Normal" xfId="0" builtinId="0"/>
    <cellStyle name="Percent" xfId="1" builtinId="5"/>
  </cellStyles>
  <dxfs count="35">
    <dxf>
      <numFmt numFmtId="166" formatCode="0.0000000000"/>
    </dxf>
    <dxf>
      <alignment horizontal="general"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dd/mm/yyyy"/>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powerPivotData" Target="model/item.data"/><Relationship Id="rId26" Type="http://schemas.openxmlformats.org/officeDocument/2006/relationships/customXml" Target="../customXml/item8.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7.xml"/><Relationship Id="rId33"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openxmlformats.org/officeDocument/2006/relationships/pivotCacheDefinition" Target="pivotCache/pivotCacheDefinition3.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[Excel_practice_set.xlsx]pie chart!PivotTable13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r>
              <a:rPr lang="en-IN" baseline="0"/>
              <a:t> 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'pie chart'!$B$3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091-4CB5-BA99-CB856CCB488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091-4CB5-BA99-CB856CCB488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091-4CB5-BA99-CB856CCB488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F091-4CB5-BA99-CB856CCB488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F091-4CB5-BA99-CB856CCB488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F091-4CB5-BA99-CB856CCB488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 chart'!$A$4:$A$9</c:f>
              <c:strCache>
                <c:ptCount val="6"/>
                <c:pt idx="0">
                  <c:v>Central</c:v>
                </c:pt>
                <c:pt idx="1">
                  <c:v>East</c:v>
                </c:pt>
                <c:pt idx="2">
                  <c:v>International</c:v>
                </c:pt>
                <c:pt idx="3">
                  <c:v>North</c:v>
                </c:pt>
                <c:pt idx="4">
                  <c:v>South</c:v>
                </c:pt>
                <c:pt idx="5">
                  <c:v>West</c:v>
                </c:pt>
              </c:strCache>
            </c:strRef>
          </c:cat>
          <c:val>
            <c:numRef>
              <c:f>'pie chart'!$B$4:$B$9</c:f>
              <c:numCache>
                <c:formatCode>General</c:formatCode>
                <c:ptCount val="6"/>
                <c:pt idx="0">
                  <c:v>111060</c:v>
                </c:pt>
                <c:pt idx="1">
                  <c:v>120065</c:v>
                </c:pt>
                <c:pt idx="2">
                  <c:v>159420</c:v>
                </c:pt>
                <c:pt idx="3">
                  <c:v>151000</c:v>
                </c:pt>
                <c:pt idx="4">
                  <c:v>183615</c:v>
                </c:pt>
                <c:pt idx="5">
                  <c:v>109020</c:v>
                </c:pt>
              </c:numCache>
            </c:numRef>
          </c:val>
          <c:extLst>
            <c:ext xmlns:c16="http://schemas.microsoft.com/office/drawing/2014/chart" uri="{C3380CC4-5D6E-409C-BE32-E72D297353CC}">
              <c16:uniqueId val="{00000000-D5D3-4A29-922E-6A8FDAAC3745}"/>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[Excel_practice_set.xlsx]line chart!PivotTable2</c:name>
    <c:fmtId val="1"/>
  </c:pivotSource>
  <c:chart>
    <c:title>
      <c:layout>
        <c:manualLayout>
          <c:xMode val="edge"/>
          <c:yMode val="edge"/>
          <c:x val="0.79924704576138239"/>
          <c:y val="0.1820682210548496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 chart'!$B$3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 chart'!$A$4:$A$15</c:f>
              <c:strCache>
                <c:ptCount val="12"/>
                <c:pt idx="0">
                  <c:v>January-2023</c:v>
                </c:pt>
                <c:pt idx="1">
                  <c:v>February-2023</c:v>
                </c:pt>
                <c:pt idx="2">
                  <c:v>March-2023</c:v>
                </c:pt>
                <c:pt idx="3">
                  <c:v>April-2023</c:v>
                </c:pt>
                <c:pt idx="4">
                  <c:v>May-2023</c:v>
                </c:pt>
                <c:pt idx="5">
                  <c:v>June-2023</c:v>
                </c:pt>
                <c:pt idx="6">
                  <c:v>July-2023</c:v>
                </c:pt>
                <c:pt idx="7">
                  <c:v>January-2024</c:v>
                </c:pt>
                <c:pt idx="8">
                  <c:v>February-2024</c:v>
                </c:pt>
                <c:pt idx="9">
                  <c:v>March-2024</c:v>
                </c:pt>
                <c:pt idx="10">
                  <c:v>April-2024</c:v>
                </c:pt>
                <c:pt idx="11">
                  <c:v>May-2024</c:v>
                </c:pt>
              </c:strCache>
            </c:strRef>
          </c:cat>
          <c:val>
            <c:numRef>
              <c:f>'line chart'!$B$4:$B$15</c:f>
              <c:numCache>
                <c:formatCode>General</c:formatCode>
                <c:ptCount val="12"/>
                <c:pt idx="0">
                  <c:v>55610</c:v>
                </c:pt>
                <c:pt idx="1">
                  <c:v>71115</c:v>
                </c:pt>
                <c:pt idx="2">
                  <c:v>81140</c:v>
                </c:pt>
                <c:pt idx="3">
                  <c:v>68270</c:v>
                </c:pt>
                <c:pt idx="4">
                  <c:v>80725</c:v>
                </c:pt>
                <c:pt idx="5">
                  <c:v>73630</c:v>
                </c:pt>
                <c:pt idx="6">
                  <c:v>67540</c:v>
                </c:pt>
                <c:pt idx="7">
                  <c:v>66220</c:v>
                </c:pt>
                <c:pt idx="8">
                  <c:v>63380</c:v>
                </c:pt>
                <c:pt idx="9">
                  <c:v>87810</c:v>
                </c:pt>
                <c:pt idx="10">
                  <c:v>67230</c:v>
                </c:pt>
                <c:pt idx="11">
                  <c:v>51510</c:v>
                </c:pt>
              </c:numCache>
            </c:numRef>
          </c:val>
          <c:smooth val="0"/>
          <c:extLst>
            <c:ext xmlns:c16="http://schemas.microsoft.com/office/drawing/2014/chart" uri="{C3380CC4-5D6E-409C-BE32-E72D297353CC}">
              <c16:uniqueId val="{00000000-5F01-492C-ADEA-16A6F04890D3}"/>
            </c:ext>
          </c:extLst>
        </c:ser>
        <c:dLbls>
          <c:dLblPos val="t"/>
          <c:showLegendKey val="0"/>
          <c:showVal val="1"/>
          <c:showCatName val="0"/>
          <c:showSerName val="0"/>
          <c:showPercent val="0"/>
          <c:showBubbleSize val="0"/>
        </c:dLbls>
        <c:marker val="1"/>
        <c:smooth val="0"/>
        <c:axId val="502966080"/>
        <c:axId val="770937344"/>
      </c:lineChart>
      <c:catAx>
        <c:axId val="502966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Months of the year</a:t>
                </a:r>
              </a:p>
              <a:p>
                <a:pPr>
                  <a:defRPr/>
                </a:pPr>
                <a:endParaRPr lang="en-IN"/>
              </a:p>
            </c:rich>
          </c:tx>
          <c:layout>
            <c:manualLayout>
              <c:xMode val="edge"/>
              <c:yMode val="edge"/>
              <c:x val="0.45583369499614723"/>
              <c:y val="0.7629066792466004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0937344"/>
        <c:crosses val="autoZero"/>
        <c:auto val="1"/>
        <c:lblAlgn val="ctr"/>
        <c:lblOffset val="100"/>
        <c:noMultiLvlLbl val="0"/>
      </c:catAx>
      <c:valAx>
        <c:axId val="7709373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Total sales</a:t>
                </a:r>
              </a:p>
              <a:p>
                <a:pPr>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96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[Excel_practice_set.xlsx]sales_profit_relation!PivotTable7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sales_profit_relation!$B$3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multiLvlStrRef>
              <c:f>sales_profit_relation!$A$4:$A$23</c:f>
              <c:multiLvlStrCache>
                <c:ptCount val="12"/>
                <c:lvl>
                  <c:pt idx="0">
                    <c:v>Jan</c:v>
                  </c:pt>
                  <c:pt idx="1">
                    <c:v>Feb</c:v>
                  </c:pt>
                  <c:pt idx="2">
                    <c:v>Mar</c:v>
                  </c:pt>
                  <c:pt idx="3">
                    <c:v>Apr</c:v>
                  </c:pt>
                  <c:pt idx="4">
                    <c:v>May</c:v>
                  </c:pt>
                  <c:pt idx="5">
                    <c:v>Jun</c:v>
                  </c:pt>
                  <c:pt idx="6">
                    <c:v>Jul</c:v>
                  </c:pt>
                  <c:pt idx="7">
                    <c:v>Jan</c:v>
                  </c:pt>
                  <c:pt idx="8">
                    <c:v>Feb</c:v>
                  </c:pt>
                  <c:pt idx="9">
                    <c:v>Mar</c:v>
                  </c:pt>
                  <c:pt idx="10">
                    <c:v>Apr</c:v>
                  </c:pt>
                  <c:pt idx="11">
                    <c:v>May</c:v>
                  </c:pt>
                </c:lvl>
                <c:lvl>
                  <c:pt idx="0">
                    <c:v>Qtr1</c:v>
                  </c:pt>
                  <c:pt idx="3">
                    <c:v>Qtr2</c:v>
                  </c:pt>
                  <c:pt idx="6">
                    <c:v>Qtr3</c:v>
                  </c:pt>
                  <c:pt idx="7">
                    <c:v>Qtr1</c:v>
                  </c:pt>
                  <c:pt idx="10">
                    <c:v>Qtr2</c:v>
                  </c:pt>
                </c:lvl>
                <c:lvl>
                  <c:pt idx="0">
                    <c:v>2023</c:v>
                  </c:pt>
                  <c:pt idx="7">
                    <c:v>2024</c:v>
                  </c:pt>
                </c:lvl>
              </c:multiLvlStrCache>
            </c:multiLvlStrRef>
          </c:cat>
          <c:val>
            <c:numRef>
              <c:f>sales_profit_relation!$B$4:$B$23</c:f>
              <c:numCache>
                <c:formatCode>0.0000000000</c:formatCode>
                <c:ptCount val="12"/>
                <c:pt idx="0">
                  <c:v>0.93663833298629728</c:v>
                </c:pt>
                <c:pt idx="1">
                  <c:v>0.95660019508835414</c:v>
                </c:pt>
                <c:pt idx="2">
                  <c:v>1.1860495480299442</c:v>
                </c:pt>
                <c:pt idx="3">
                  <c:v>0.94958750310115669</c:v>
                </c:pt>
                <c:pt idx="4">
                  <c:v>1.1775694587487398</c:v>
                </c:pt>
                <c:pt idx="5">
                  <c:v>0.94097271549628791</c:v>
                </c:pt>
                <c:pt idx="6">
                  <c:v>0.94213056546152352</c:v>
                </c:pt>
                <c:pt idx="7">
                  <c:v>0.94277672793763267</c:v>
                </c:pt>
                <c:pt idx="8">
                  <c:v>0.94515594303313855</c:v>
                </c:pt>
                <c:pt idx="9">
                  <c:v>1.1738302082435843</c:v>
                </c:pt>
                <c:pt idx="10">
                  <c:v>0.92917396487638315</c:v>
                </c:pt>
                <c:pt idx="11">
                  <c:v>0.70489419641562145</c:v>
                </c:pt>
              </c:numCache>
            </c:numRef>
          </c:val>
          <c:smooth val="0"/>
          <c:extLst>
            <c:ext xmlns:c16="http://schemas.microsoft.com/office/drawing/2014/chart" uri="{C3380CC4-5D6E-409C-BE32-E72D297353CC}">
              <c16:uniqueId val="{00000000-2CD2-4F4D-BBB6-05A5FBC55309}"/>
            </c:ext>
          </c:extLst>
        </c:ser>
        <c:dLbls>
          <c:showLegendKey val="0"/>
          <c:showVal val="1"/>
          <c:showCatName val="0"/>
          <c:showSerName val="0"/>
          <c:showPercent val="0"/>
          <c:showBubbleSize val="0"/>
        </c:dLbls>
        <c:upDownBars>
          <c:gapWidth val="219"/>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746341968"/>
        <c:axId val="745849136"/>
      </c:lineChart>
      <c:catAx>
        <c:axId val="746341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849136"/>
        <c:crosses val="autoZero"/>
        <c:auto val="1"/>
        <c:lblAlgn val="ctr"/>
        <c:lblOffset val="100"/>
        <c:noMultiLvlLbl val="0"/>
      </c:catAx>
      <c:valAx>
        <c:axId val="745849136"/>
        <c:scaling>
          <c:orientation val="minMax"/>
        </c:scaling>
        <c:delete val="0"/>
        <c:axPos val="l"/>
        <c:majorGridlines>
          <c:spPr>
            <a:ln w="9525" cap="flat" cmpd="sng" algn="ctr">
              <a:solidFill>
                <a:schemeClr val="tx1">
                  <a:lumMod val="15000"/>
                  <a:lumOff val="85000"/>
                </a:schemeClr>
              </a:solidFill>
              <a:round/>
            </a:ln>
            <a:effectLst/>
          </c:spPr>
        </c:majorGridlines>
        <c:numFmt formatCode="0.0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41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7</xdr:col>
      <xdr:colOff>160316</xdr:colOff>
      <xdr:row>0</xdr:row>
      <xdr:rowOff>71252</xdr:rowOff>
    </xdr:from>
    <xdr:to>
      <xdr:col>10</xdr:col>
      <xdr:colOff>142504</xdr:colOff>
      <xdr:row>11</xdr:row>
      <xdr:rowOff>71253</xdr:rowOff>
    </xdr:to>
    <mc:AlternateContent xmlns:mc="http://schemas.openxmlformats.org/markup-compatibility/2006" xmlns:a14="http://schemas.microsoft.com/office/drawing/2010/main">
      <mc:Choice Requires="a14">
        <xdr:graphicFrame macro="">
          <xdr:nvGraphicFramePr>
            <xdr:cNvPr id="2" name="Product Name">
              <a:extLst>
                <a:ext uri="{FF2B5EF4-FFF2-40B4-BE49-F238E27FC236}">
                  <a16:creationId xmlns:a16="http://schemas.microsoft.com/office/drawing/2014/main" id="{33EAB1FB-AC16-4ED7-A8F3-B0B37CB99DE0}"/>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6252358" y="71252"/>
              <a:ext cx="1834738" cy="202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522514</xdr:colOff>
      <xdr:row>0</xdr:row>
      <xdr:rowOff>1</xdr:rowOff>
    </xdr:from>
    <xdr:to>
      <xdr:col>14</xdr:col>
      <xdr:colOff>29688</xdr:colOff>
      <xdr:row>11</xdr:row>
      <xdr:rowOff>17814</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43354B76-F0D4-4FE1-8D3F-E7710371BD7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467106" y="1"/>
              <a:ext cx="1977242" cy="20425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326569</xdr:colOff>
      <xdr:row>0</xdr:row>
      <xdr:rowOff>74220</xdr:rowOff>
    </xdr:from>
    <xdr:to>
      <xdr:col>12</xdr:col>
      <xdr:colOff>279068</xdr:colOff>
      <xdr:row>19</xdr:row>
      <xdr:rowOff>160316</xdr:rowOff>
    </xdr:to>
    <xdr:graphicFrame macro="">
      <xdr:nvGraphicFramePr>
        <xdr:cNvPr id="2" name="Chart 1">
          <a:extLst>
            <a:ext uri="{FF2B5EF4-FFF2-40B4-BE49-F238E27FC236}">
              <a16:creationId xmlns:a16="http://schemas.microsoft.com/office/drawing/2014/main" id="{B6E246B8-DBBE-4C4C-A40D-6F4BEA8C4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599248</xdr:colOff>
      <xdr:row>0</xdr:row>
      <xdr:rowOff>154896</xdr:rowOff>
    </xdr:from>
    <xdr:to>
      <xdr:col>14</xdr:col>
      <xdr:colOff>106492</xdr:colOff>
      <xdr:row>14</xdr:row>
      <xdr:rowOff>17427</xdr:rowOff>
    </xdr:to>
    <xdr:graphicFrame macro="">
      <xdr:nvGraphicFramePr>
        <xdr:cNvPr id="2" name="Chart 1">
          <a:extLst>
            <a:ext uri="{FF2B5EF4-FFF2-40B4-BE49-F238E27FC236}">
              <a16:creationId xmlns:a16="http://schemas.microsoft.com/office/drawing/2014/main" id="{67EFE814-CEAC-4F3A-9EC7-EBF062CAB7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529151</xdr:colOff>
      <xdr:row>2</xdr:row>
      <xdr:rowOff>123294</xdr:rowOff>
    </xdr:from>
    <xdr:to>
      <xdr:col>14</xdr:col>
      <xdr:colOff>593766</xdr:colOff>
      <xdr:row>18</xdr:row>
      <xdr:rowOff>76840</xdr:rowOff>
    </xdr:to>
    <xdr:graphicFrame macro="">
      <xdr:nvGraphicFramePr>
        <xdr:cNvPr id="4" name="Chart 3">
          <a:extLst>
            <a:ext uri="{FF2B5EF4-FFF2-40B4-BE49-F238E27FC236}">
              <a16:creationId xmlns:a16="http://schemas.microsoft.com/office/drawing/2014/main" id="{4A2617A7-7775-43C6-8FBC-FA4314340B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542137731478" createdVersion="6" refreshedVersion="6" minRefreshableVersion="3" recordCount="50" xr:uid="{7BEA2EFB-49B3-4B38-AB7A-A07EC4A82B9F}">
  <cacheSource type="worksheet">
    <worksheetSource ref="A1:D51" sheet="Products"/>
  </cacheSource>
  <cacheFields count="4">
    <cacheField name="Product ID" numFmtId="0">
      <sharedItems/>
    </cacheField>
    <cacheField name="Product Name" numFmtId="0">
      <sharedItems count="6">
        <s v="Laptop"/>
        <s v="Mobile Phone"/>
        <s v="Tablet"/>
        <s v="Smart Watch"/>
        <s v="Headphones"/>
        <s v="Printer"/>
      </sharedItems>
    </cacheField>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s>
  <extLst>
    <ext xmlns:x14="http://schemas.microsoft.com/office/spreadsheetml/2009/9/main" uri="{725AE2AE-9491-48be-B2B4-4EB974FC3084}">
      <x14:pivotCacheDefinition pivotCacheId="98808016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597885995368" createdVersion="6" refreshedVersion="6" minRefreshableVersion="3" recordCount="50" xr:uid="{716E48C9-ECAC-4541-BD47-FB524C3C0628}">
  <cacheSource type="worksheet">
    <worksheetSource name="Table7"/>
  </cacheSource>
  <cacheFields count="5">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 name="sale_date" numFmtId="0">
      <sharedItems/>
    </cacheField>
    <cacheField name="year_of_sale" numFmtId="14">
      <sharedItems containsSemiMixedTypes="0" containsNonDate="0" containsDate="1" containsString="0" minDate="2023-01-05T00:00:00" maxDate="2024-05-18T00:00:00"/>
    </cacheField>
    <cacheField name="Column1" numFmtId="0">
      <sharedItems containsSemiMixedTypes="0" containsString="0" containsNumber="1" containsInteger="1" minValue="2023" maxValue="202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646094097225" createdVersion="6" refreshedVersion="6" minRefreshableVersion="3" recordCount="50" xr:uid="{69D667AC-DF70-458A-B75B-B521353A7E3B}">
  <cacheSource type="worksheet">
    <worksheetSource name="Table12"/>
  </cacheSource>
  <cacheFields count="6">
    <cacheField name="Product ID" numFmtId="0">
      <sharedItems/>
    </cacheField>
    <cacheField name="Product Name" numFmtId="0">
      <sharedItems/>
    </cacheField>
    <cacheField name="region" numFmtId="0">
      <sharedItems/>
    </cacheField>
    <cacheField name="total sales" numFmtId="0">
      <sharedItems containsSemiMixedTypes="0" containsString="0" containsNumber="1" containsInteger="1" minValue="9750" maxValue="23500" count="50">
        <n v="12500"/>
        <n v="17890"/>
        <n v="15420"/>
        <n v="9800"/>
        <n v="22150"/>
        <n v="13400"/>
        <n v="16575"/>
        <n v="18990"/>
        <n v="14350"/>
        <n v="21000"/>
        <n v="9750"/>
        <n v="16200"/>
        <n v="19840"/>
        <n v="14760"/>
        <n v="23500"/>
        <n v="12890"/>
        <n v="17120"/>
        <n v="15950"/>
        <n v="20400"/>
        <n v="18675"/>
        <n v="11200"/>
        <n v="14500"/>
        <n v="19320"/>
        <n v="16780"/>
        <n v="21890"/>
        <n v="15640"/>
        <n v="9900"/>
        <n v="18250"/>
        <n v="16990"/>
        <n v="22400"/>
        <n v="13150"/>
        <n v="17680"/>
        <n v="15890"/>
        <n v="19500"/>
        <n v="14200"/>
        <n v="20950"/>
        <n v="11800"/>
        <n v="16430"/>
        <n v="18760"/>
        <n v="15120"/>
        <n v="22900"/>
        <n v="13780"/>
        <n v="17250"/>
        <n v="16040"/>
        <n v="20100"/>
        <n v="18490"/>
        <n v="12600"/>
        <n v="16890"/>
        <n v="19120"/>
        <n v="15500"/>
      </sharedItems>
    </cacheField>
    <cacheField name="sale_date" numFmtId="14">
      <sharedItems containsSemiMixedTypes="0" containsNonDate="0" containsDate="1" containsString="0" minDate="2023-01-05T00:00:00" maxDate="2024-05-18T00:00:00"/>
    </cacheField>
    <cacheField name="month of sale" numFmtId="0">
      <sharedItems count="19">
        <s v="January-2023"/>
        <s v="February-2023"/>
        <s v="March-2023"/>
        <s v="April-2023"/>
        <s v="May-2023"/>
        <s v="June-2023"/>
        <s v="July-2023"/>
        <s v="January-2024"/>
        <s v="February-2024"/>
        <s v="March-2024"/>
        <s v="April-2024"/>
        <s v="May-2024"/>
        <s v="June" u="1"/>
        <s v="March" u="1"/>
        <s v="February" u="1"/>
        <s v="January" u="1"/>
        <s v="April" u="1"/>
        <s v="May" u="1"/>
        <s v="July" u="1"/>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665417939817" createdVersion="6" refreshedVersion="6" minRefreshableVersion="3" recordCount="50" xr:uid="{A1602BE4-194C-4B1D-B2CB-477A2CB5CA6F}">
  <cacheSource type="worksheet">
    <worksheetSource name="Table14"/>
  </cacheSource>
  <cacheFields count="11">
    <cacheField name="Product ID" numFmtId="0">
      <sharedItems/>
    </cacheField>
    <cacheField name="Product Name" numFmtId="0">
      <sharedItems/>
    </cacheField>
    <cacheField name="region" numFmtId="0">
      <sharedItems/>
    </cacheField>
    <cacheField name="total sales" numFmtId="0">
      <sharedItems containsSemiMixedTypes="0" containsString="0" containsNumber="1" containsInteger="1" minValue="9750" maxValue="23500"/>
    </cacheField>
    <cacheField name="sale_date" numFmtId="14">
      <sharedItems containsSemiMixedTypes="0" containsNonDate="0" containsDate="1" containsString="0" minDate="2023-01-05T00:00:00" maxDate="2024-05-18T00:00:00" count="50">
        <d v="2023-01-05T00:00:00"/>
        <d v="2023-01-12T00:00:00"/>
        <d v="2023-01-18T00:00:00"/>
        <d v="2023-01-25T00:00:00"/>
        <d v="2023-02-02T00:00:00"/>
        <d v="2023-02-08T00:00:00"/>
        <d v="2023-02-15T00:00:00"/>
        <d v="2023-02-22T00:00:00"/>
        <d v="2023-03-01T00:00:00"/>
        <d v="2023-03-07T00:00:00"/>
        <d v="2023-03-14T00:00:00"/>
        <d v="2023-03-21T00:00:00"/>
        <d v="2023-03-28T00:00:00"/>
        <d v="2023-04-04T00:00:00"/>
        <d v="2023-04-11T00:00:00"/>
        <d v="2023-04-18T00:00:00"/>
        <d v="2023-04-25T00:00:00"/>
        <d v="2023-05-02T00:00:00"/>
        <d v="2023-05-09T00:00:00"/>
        <d v="2023-05-16T00:00:00"/>
        <d v="2023-05-23T00:00:00"/>
        <d v="2023-05-30T00:00:00"/>
        <d v="2023-06-06T00:00:00"/>
        <d v="2023-06-13T00:00:00"/>
        <d v="2023-06-20T00:00:00"/>
        <d v="2023-06-27T00:00:00"/>
        <d v="2023-07-04T00:00:00"/>
        <d v="2023-07-11T00:00:00"/>
        <d v="2023-07-18T00:00:00"/>
        <d v="2023-07-25T00:00:00"/>
        <d v="2024-01-03T00:00:00"/>
        <d v="2024-01-10T00:00:00"/>
        <d v="2024-01-17T00:00:00"/>
        <d v="2024-01-24T00:00:00"/>
        <d v="2024-02-01T00:00:00"/>
        <d v="2024-02-08T00:00:00"/>
        <d v="2024-02-15T00:00:00"/>
        <d v="2024-02-22T00:00:00"/>
        <d v="2024-03-01T00:00:00"/>
        <d v="2024-03-08T00:00:00"/>
        <d v="2024-03-15T00:00:00"/>
        <d v="2024-03-22T00:00:00"/>
        <d v="2024-03-29T00:00:00"/>
        <d v="2024-04-05T00:00:00"/>
        <d v="2024-04-12T00:00:00"/>
        <d v="2024-04-19T00:00:00"/>
        <d v="2024-04-26T00:00:00"/>
        <d v="2024-05-03T00:00:00"/>
        <d v="2024-05-10T00:00:00"/>
        <d v="2024-05-17T00:00:00"/>
      </sharedItems>
      <fieldGroup par="10" base="4">
        <rangePr groupBy="months" startDate="2023-01-05T00:00:00" endDate="2024-05-18T00:00:00"/>
        <groupItems count="14">
          <s v="&lt;05-01-2023"/>
          <s v="Jan"/>
          <s v="Feb"/>
          <s v="Mar"/>
          <s v="Apr"/>
          <s v="May"/>
          <s v="Jun"/>
          <s v="Jul"/>
          <s v="Aug"/>
          <s v="Sep"/>
          <s v="Oct"/>
          <s v="Nov"/>
          <s v="Dec"/>
          <s v="&gt;18-05-2024"/>
        </groupItems>
      </fieldGroup>
    </cacheField>
    <cacheField name="month of sale" numFmtId="0">
      <sharedItems/>
    </cacheField>
    <cacheField name=" Cost Price" numFmtId="0">
      <sharedItems containsSemiMixedTypes="0" containsString="0" containsNumber="1" containsInteger="1" minValue="7400" maxValue="17800"/>
    </cacheField>
    <cacheField name="progfit" numFmtId="0">
      <sharedItems containsSemiMixedTypes="0" containsString="0" containsNumber="1" containsInteger="1" minValue="2200" maxValue="5700"/>
    </cacheField>
    <cacheField name="Profit %" numFmtId="9">
      <sharedItems containsSemiMixedTypes="0" containsString="0" containsNumber="1" minValue="0.22448979591836735" maxValue="0.24538848518725545"/>
    </cacheField>
    <cacheField name="Quarters" numFmtId="0" databaseField="0">
      <fieldGroup base="4">
        <rangePr groupBy="quarters" startDate="2023-01-05T00:00:00" endDate="2024-05-18T00:00:00"/>
        <groupItems count="6">
          <s v="&lt;05-01-2023"/>
          <s v="Qtr1"/>
          <s v="Qtr2"/>
          <s v="Qtr3"/>
          <s v="Qtr4"/>
          <s v="&gt;18-05-2024"/>
        </groupItems>
      </fieldGroup>
    </cacheField>
    <cacheField name="Years" numFmtId="0" databaseField="0">
      <fieldGroup base="4">
        <rangePr groupBy="years" startDate="2023-01-05T00:00:00" endDate="2024-05-18T00:00:00"/>
        <groupItems count="4">
          <s v="&lt;05-01-2023"/>
          <s v="2023"/>
          <s v="2024"/>
          <s v="&gt;18-05-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x v="0"/>
    <x v="0"/>
    <n v="12500"/>
  </r>
  <r>
    <s v="P002"/>
    <x v="1"/>
    <x v="1"/>
    <n v="17890"/>
  </r>
  <r>
    <s v="P003"/>
    <x v="2"/>
    <x v="2"/>
    <n v="15420"/>
  </r>
  <r>
    <s v="P004"/>
    <x v="3"/>
    <x v="3"/>
    <n v="9800"/>
  </r>
  <r>
    <s v="P005"/>
    <x v="4"/>
    <x v="4"/>
    <n v="22150"/>
  </r>
  <r>
    <s v="P006"/>
    <x v="5"/>
    <x v="5"/>
    <n v="13400"/>
  </r>
  <r>
    <s v="P007"/>
    <x v="0"/>
    <x v="0"/>
    <n v="16575"/>
  </r>
  <r>
    <s v="P008"/>
    <x v="1"/>
    <x v="1"/>
    <n v="18990"/>
  </r>
  <r>
    <s v="P009"/>
    <x v="2"/>
    <x v="2"/>
    <n v="14350"/>
  </r>
  <r>
    <s v="P010"/>
    <x v="3"/>
    <x v="3"/>
    <n v="21000"/>
  </r>
  <r>
    <s v="P011"/>
    <x v="4"/>
    <x v="4"/>
    <n v="9750"/>
  </r>
  <r>
    <s v="P012"/>
    <x v="5"/>
    <x v="5"/>
    <n v="16200"/>
  </r>
  <r>
    <s v="P013"/>
    <x v="0"/>
    <x v="0"/>
    <n v="19840"/>
  </r>
  <r>
    <s v="P014"/>
    <x v="1"/>
    <x v="1"/>
    <n v="14760"/>
  </r>
  <r>
    <s v="P015"/>
    <x v="2"/>
    <x v="2"/>
    <n v="23500"/>
  </r>
  <r>
    <s v="P016"/>
    <x v="3"/>
    <x v="3"/>
    <n v="12890"/>
  </r>
  <r>
    <s v="P017"/>
    <x v="4"/>
    <x v="4"/>
    <n v="17120"/>
  </r>
  <r>
    <s v="P018"/>
    <x v="5"/>
    <x v="5"/>
    <n v="15950"/>
  </r>
  <r>
    <s v="P019"/>
    <x v="0"/>
    <x v="0"/>
    <n v="20400"/>
  </r>
  <r>
    <s v="P020"/>
    <x v="1"/>
    <x v="1"/>
    <n v="18675"/>
  </r>
  <r>
    <s v="P021"/>
    <x v="2"/>
    <x v="2"/>
    <n v="11200"/>
  </r>
  <r>
    <s v="P022"/>
    <x v="3"/>
    <x v="3"/>
    <n v="14500"/>
  </r>
  <r>
    <s v="P023"/>
    <x v="4"/>
    <x v="4"/>
    <n v="19320"/>
  </r>
  <r>
    <s v="P024"/>
    <x v="5"/>
    <x v="5"/>
    <n v="16780"/>
  </r>
  <r>
    <s v="P025"/>
    <x v="0"/>
    <x v="0"/>
    <n v="21890"/>
  </r>
  <r>
    <s v="P026"/>
    <x v="1"/>
    <x v="1"/>
    <n v="15640"/>
  </r>
  <r>
    <s v="P027"/>
    <x v="2"/>
    <x v="2"/>
    <n v="9900"/>
  </r>
  <r>
    <s v="P028"/>
    <x v="3"/>
    <x v="3"/>
    <n v="18250"/>
  </r>
  <r>
    <s v="P029"/>
    <x v="4"/>
    <x v="4"/>
    <n v="16990"/>
  </r>
  <r>
    <s v="P030"/>
    <x v="5"/>
    <x v="5"/>
    <n v="22400"/>
  </r>
  <r>
    <s v="P031"/>
    <x v="0"/>
    <x v="0"/>
    <n v="13150"/>
  </r>
  <r>
    <s v="P032"/>
    <x v="1"/>
    <x v="1"/>
    <n v="17680"/>
  </r>
  <r>
    <s v="P033"/>
    <x v="2"/>
    <x v="2"/>
    <n v="15890"/>
  </r>
  <r>
    <s v="P034"/>
    <x v="3"/>
    <x v="3"/>
    <n v="19500"/>
  </r>
  <r>
    <s v="P035"/>
    <x v="4"/>
    <x v="4"/>
    <n v="14200"/>
  </r>
  <r>
    <s v="P036"/>
    <x v="5"/>
    <x v="5"/>
    <n v="20950"/>
  </r>
  <r>
    <s v="P037"/>
    <x v="0"/>
    <x v="0"/>
    <n v="11800"/>
  </r>
  <r>
    <s v="P038"/>
    <x v="1"/>
    <x v="1"/>
    <n v="16430"/>
  </r>
  <r>
    <s v="P039"/>
    <x v="2"/>
    <x v="2"/>
    <n v="18760"/>
  </r>
  <r>
    <s v="P040"/>
    <x v="3"/>
    <x v="3"/>
    <n v="15120"/>
  </r>
  <r>
    <s v="P041"/>
    <x v="4"/>
    <x v="4"/>
    <n v="22900"/>
  </r>
  <r>
    <s v="P042"/>
    <x v="5"/>
    <x v="5"/>
    <n v="13780"/>
  </r>
  <r>
    <s v="P043"/>
    <x v="0"/>
    <x v="0"/>
    <n v="17250"/>
  </r>
  <r>
    <s v="P044"/>
    <x v="1"/>
    <x v="5"/>
    <n v="16040"/>
  </r>
  <r>
    <s v="P045"/>
    <x v="3"/>
    <x v="4"/>
    <n v="20100"/>
  </r>
  <r>
    <s v="P046"/>
    <x v="4"/>
    <x v="0"/>
    <n v="18490"/>
  </r>
  <r>
    <s v="P047"/>
    <x v="5"/>
    <x v="0"/>
    <n v="12600"/>
  </r>
  <r>
    <s v="P048"/>
    <x v="0"/>
    <x v="4"/>
    <n v="16890"/>
  </r>
  <r>
    <s v="P049"/>
    <x v="1"/>
    <x v="0"/>
    <n v="19120"/>
  </r>
  <r>
    <s v="P050"/>
    <x v="1"/>
    <x v="5"/>
    <n v="155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x v="0"/>
    <n v="12500"/>
    <s v=" 2023-01-05"/>
    <d v="2023-01-05T00:00:00"/>
    <n v="2023"/>
  </r>
  <r>
    <x v="1"/>
    <n v="17890"/>
    <s v=" 2023-01-12"/>
    <d v="2023-01-12T00:00:00"/>
    <n v="2023"/>
  </r>
  <r>
    <x v="2"/>
    <n v="15420"/>
    <s v=" 2023-01-18"/>
    <d v="2023-01-18T00:00:00"/>
    <n v="2023"/>
  </r>
  <r>
    <x v="3"/>
    <n v="9800"/>
    <s v=" 2023-01-25"/>
    <d v="2023-01-25T00:00:00"/>
    <n v="2023"/>
  </r>
  <r>
    <x v="4"/>
    <n v="22150"/>
    <s v=" 2023-02-02"/>
    <d v="2023-02-02T00:00:00"/>
    <n v="2023"/>
  </r>
  <r>
    <x v="5"/>
    <n v="13400"/>
    <s v=" 2023-02-08"/>
    <d v="2023-02-08T00:00:00"/>
    <n v="2023"/>
  </r>
  <r>
    <x v="0"/>
    <n v="16575"/>
    <s v=" 2023-02-15"/>
    <d v="2023-02-15T00:00:00"/>
    <n v="2023"/>
  </r>
  <r>
    <x v="1"/>
    <n v="18990"/>
    <s v=" 2023-02-22"/>
    <d v="2023-02-22T00:00:00"/>
    <n v="2023"/>
  </r>
  <r>
    <x v="2"/>
    <n v="14350"/>
    <s v=" 2023-03-01"/>
    <d v="2023-03-01T00:00:00"/>
    <n v="2023"/>
  </r>
  <r>
    <x v="3"/>
    <n v="21000"/>
    <s v=" 2023-03-07"/>
    <d v="2023-03-07T00:00:00"/>
    <n v="2023"/>
  </r>
  <r>
    <x v="4"/>
    <n v="9750"/>
    <s v=" 2023-03-14"/>
    <d v="2023-03-14T00:00:00"/>
    <n v="2023"/>
  </r>
  <r>
    <x v="5"/>
    <n v="16200"/>
    <s v=" 2023-03-21"/>
    <d v="2023-03-21T00:00:00"/>
    <n v="2023"/>
  </r>
  <r>
    <x v="0"/>
    <n v="19840"/>
    <s v=" 2023-03-28"/>
    <d v="2023-03-28T00:00:00"/>
    <n v="2023"/>
  </r>
  <r>
    <x v="1"/>
    <n v="14760"/>
    <s v=" 2023-04-04"/>
    <d v="2023-04-04T00:00:00"/>
    <n v="2023"/>
  </r>
  <r>
    <x v="2"/>
    <n v="23500"/>
    <s v=" 2023-04-11"/>
    <d v="2023-04-11T00:00:00"/>
    <n v="2023"/>
  </r>
  <r>
    <x v="3"/>
    <n v="12890"/>
    <s v=" 2023-04-18"/>
    <d v="2023-04-18T00:00:00"/>
    <n v="2023"/>
  </r>
  <r>
    <x v="4"/>
    <n v="17120"/>
    <s v=" 2023-04-25"/>
    <d v="2023-04-25T00:00:00"/>
    <n v="2023"/>
  </r>
  <r>
    <x v="5"/>
    <n v="15950"/>
    <s v=" 2023-05-02"/>
    <d v="2023-05-02T00:00:00"/>
    <n v="2023"/>
  </r>
  <r>
    <x v="0"/>
    <n v="20400"/>
    <s v=" 2023-05-09"/>
    <d v="2023-05-09T00:00:00"/>
    <n v="2023"/>
  </r>
  <r>
    <x v="1"/>
    <n v="18675"/>
    <s v=" 2023-05-16"/>
    <d v="2023-05-16T00:00:00"/>
    <n v="2023"/>
  </r>
  <r>
    <x v="2"/>
    <n v="11200"/>
    <s v=" 2023-05-23"/>
    <d v="2023-05-23T00:00:00"/>
    <n v="2023"/>
  </r>
  <r>
    <x v="3"/>
    <n v="14500"/>
    <s v=" 2023-05-30"/>
    <d v="2023-05-30T00:00:00"/>
    <n v="2023"/>
  </r>
  <r>
    <x v="4"/>
    <n v="19320"/>
    <s v=" 2023-06-06"/>
    <d v="2023-06-06T00:00:00"/>
    <n v="2023"/>
  </r>
  <r>
    <x v="5"/>
    <n v="16780"/>
    <s v=" 2023-06-13"/>
    <d v="2023-06-13T00:00:00"/>
    <n v="2023"/>
  </r>
  <r>
    <x v="0"/>
    <n v="21890"/>
    <s v=" 2023-06-20"/>
    <d v="2023-06-20T00:00:00"/>
    <n v="2023"/>
  </r>
  <r>
    <x v="1"/>
    <n v="15640"/>
    <s v=" 2023-06-27"/>
    <d v="2023-06-27T00:00:00"/>
    <n v="2023"/>
  </r>
  <r>
    <x v="2"/>
    <n v="9900"/>
    <s v=" 2023-07-04"/>
    <d v="2023-07-04T00:00:00"/>
    <n v="2023"/>
  </r>
  <r>
    <x v="3"/>
    <n v="18250"/>
    <s v=" 2023-07-11"/>
    <d v="2023-07-11T00:00:00"/>
    <n v="2023"/>
  </r>
  <r>
    <x v="4"/>
    <n v="16990"/>
    <s v=" 2023-07-18"/>
    <d v="2023-07-18T00:00:00"/>
    <n v="2023"/>
  </r>
  <r>
    <x v="5"/>
    <n v="22400"/>
    <s v=" 2023-07-25"/>
    <d v="2023-07-25T00:00:00"/>
    <n v="2023"/>
  </r>
  <r>
    <x v="0"/>
    <n v="13150"/>
    <s v=" 2024-01-03"/>
    <d v="2024-01-03T00:00:00"/>
    <n v="2024"/>
  </r>
  <r>
    <x v="1"/>
    <n v="17680"/>
    <s v=" 2024-01-10"/>
    <d v="2024-01-10T00:00:00"/>
    <n v="2024"/>
  </r>
  <r>
    <x v="2"/>
    <n v="15890"/>
    <s v=" 2024-01-17"/>
    <d v="2024-01-17T00:00:00"/>
    <n v="2024"/>
  </r>
  <r>
    <x v="3"/>
    <n v="19500"/>
    <s v=" 2024-01-24"/>
    <d v="2024-01-24T00:00:00"/>
    <n v="2024"/>
  </r>
  <r>
    <x v="4"/>
    <n v="14200"/>
    <s v=" 2024-02-01"/>
    <d v="2024-02-01T00:00:00"/>
    <n v="2024"/>
  </r>
  <r>
    <x v="5"/>
    <n v="20950"/>
    <s v=" 2024-02-08"/>
    <d v="2024-02-08T00:00:00"/>
    <n v="2024"/>
  </r>
  <r>
    <x v="0"/>
    <n v="11800"/>
    <s v=" 2024-02-15"/>
    <d v="2024-02-15T00:00:00"/>
    <n v="2024"/>
  </r>
  <r>
    <x v="1"/>
    <n v="16430"/>
    <s v=" 2024-02-22"/>
    <d v="2024-02-22T00:00:00"/>
    <n v="2024"/>
  </r>
  <r>
    <x v="2"/>
    <n v="18760"/>
    <s v=" 2024-03-01"/>
    <d v="2024-03-01T00:00:00"/>
    <n v="2024"/>
  </r>
  <r>
    <x v="3"/>
    <n v="15120"/>
    <s v=" 2024-03-08"/>
    <d v="2024-03-08T00:00:00"/>
    <n v="2024"/>
  </r>
  <r>
    <x v="4"/>
    <n v="22900"/>
    <s v=" 2024-03-15"/>
    <d v="2024-03-15T00:00:00"/>
    <n v="2024"/>
  </r>
  <r>
    <x v="5"/>
    <n v="13780"/>
    <s v=" 2024-03-22"/>
    <d v="2024-03-22T00:00:00"/>
    <n v="2024"/>
  </r>
  <r>
    <x v="0"/>
    <n v="17250"/>
    <s v=" 2024-03-29"/>
    <d v="2024-03-29T00:00:00"/>
    <n v="2024"/>
  </r>
  <r>
    <x v="5"/>
    <n v="16040"/>
    <s v=" 2024-04-05"/>
    <d v="2024-04-05T00:00:00"/>
    <n v="2024"/>
  </r>
  <r>
    <x v="4"/>
    <n v="20100"/>
    <s v=" 2024-04-12"/>
    <d v="2024-04-12T00:00:00"/>
    <n v="2024"/>
  </r>
  <r>
    <x v="0"/>
    <n v="18490"/>
    <s v=" 2024-04-19"/>
    <d v="2024-04-19T00:00:00"/>
    <n v="2024"/>
  </r>
  <r>
    <x v="0"/>
    <n v="12600"/>
    <s v=" 2024-04-26"/>
    <d v="2024-04-26T00:00:00"/>
    <n v="2024"/>
  </r>
  <r>
    <x v="4"/>
    <n v="16890"/>
    <s v=" 2024-05-03"/>
    <d v="2024-05-03T00:00:00"/>
    <n v="2024"/>
  </r>
  <r>
    <x v="0"/>
    <n v="19120"/>
    <s v=" 2024-05-10"/>
    <d v="2024-05-10T00:00:00"/>
    <n v="2024"/>
  </r>
  <r>
    <x v="5"/>
    <n v="15500"/>
    <s v=" 2024-05-17"/>
    <d v="2024-05-17T00:00:00"/>
    <n v="202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s v="Laptop"/>
    <s v="South"/>
    <x v="0"/>
    <d v="2023-01-05T00:00:00"/>
    <x v="0"/>
  </r>
  <r>
    <s v="P002"/>
    <s v="Mobile Phone"/>
    <s v="East"/>
    <x v="1"/>
    <d v="2023-01-12T00:00:00"/>
    <x v="0"/>
  </r>
  <r>
    <s v="P003"/>
    <s v="Tablet"/>
    <s v="West"/>
    <x v="2"/>
    <d v="2023-01-18T00:00:00"/>
    <x v="0"/>
  </r>
  <r>
    <s v="P004"/>
    <s v="Smart Watch"/>
    <s v="Central"/>
    <x v="3"/>
    <d v="2023-01-25T00:00:00"/>
    <x v="0"/>
  </r>
  <r>
    <s v="P005"/>
    <s v="Headphones"/>
    <s v="International"/>
    <x v="4"/>
    <d v="2023-02-02T00:00:00"/>
    <x v="1"/>
  </r>
  <r>
    <s v="P006"/>
    <s v="Printer"/>
    <s v="North"/>
    <x v="5"/>
    <d v="2023-02-08T00:00:00"/>
    <x v="1"/>
  </r>
  <r>
    <s v="P007"/>
    <s v="Laptop"/>
    <s v="South"/>
    <x v="6"/>
    <d v="2023-02-15T00:00:00"/>
    <x v="1"/>
  </r>
  <r>
    <s v="P008"/>
    <s v="Mobile Phone"/>
    <s v="East"/>
    <x v="7"/>
    <d v="2023-02-22T00:00:00"/>
    <x v="1"/>
  </r>
  <r>
    <s v="P009"/>
    <s v="Tablet"/>
    <s v="West"/>
    <x v="8"/>
    <d v="2023-03-01T00:00:00"/>
    <x v="2"/>
  </r>
  <r>
    <s v="P010"/>
    <s v="Smart Watch"/>
    <s v="Central"/>
    <x v="9"/>
    <d v="2023-03-07T00:00:00"/>
    <x v="2"/>
  </r>
  <r>
    <s v="P011"/>
    <s v="Headphones"/>
    <s v="International"/>
    <x v="10"/>
    <d v="2023-03-14T00:00:00"/>
    <x v="2"/>
  </r>
  <r>
    <s v="P012"/>
    <s v="Printer"/>
    <s v="North"/>
    <x v="11"/>
    <d v="2023-03-21T00:00:00"/>
    <x v="2"/>
  </r>
  <r>
    <s v="P013"/>
    <s v="Laptop"/>
    <s v="South"/>
    <x v="12"/>
    <d v="2023-03-28T00:00:00"/>
    <x v="2"/>
  </r>
  <r>
    <s v="P014"/>
    <s v="Mobile Phone"/>
    <s v="East"/>
    <x v="13"/>
    <d v="2023-04-04T00:00:00"/>
    <x v="3"/>
  </r>
  <r>
    <s v="P015"/>
    <s v="Tablet"/>
    <s v="West"/>
    <x v="14"/>
    <d v="2023-04-11T00:00:00"/>
    <x v="3"/>
  </r>
  <r>
    <s v="P016"/>
    <s v="Smart Watch"/>
    <s v="Central"/>
    <x v="15"/>
    <d v="2023-04-18T00:00:00"/>
    <x v="3"/>
  </r>
  <r>
    <s v="P017"/>
    <s v="Headphones"/>
    <s v="International"/>
    <x v="16"/>
    <d v="2023-04-25T00:00:00"/>
    <x v="3"/>
  </r>
  <r>
    <s v="P018"/>
    <s v="Printer"/>
    <s v="North"/>
    <x v="17"/>
    <d v="2023-05-02T00:00:00"/>
    <x v="4"/>
  </r>
  <r>
    <s v="P019"/>
    <s v="Laptop"/>
    <s v="South"/>
    <x v="18"/>
    <d v="2023-05-09T00:00:00"/>
    <x v="4"/>
  </r>
  <r>
    <s v="P020"/>
    <s v="Mobile Phone"/>
    <s v="East"/>
    <x v="19"/>
    <d v="2023-05-16T00:00:00"/>
    <x v="4"/>
  </r>
  <r>
    <s v="P021"/>
    <s v="Tablet"/>
    <s v="West"/>
    <x v="20"/>
    <d v="2023-05-23T00:00:00"/>
    <x v="4"/>
  </r>
  <r>
    <s v="P022"/>
    <s v="Smart Watch"/>
    <s v="Central"/>
    <x v="21"/>
    <d v="2023-05-30T00:00:00"/>
    <x v="4"/>
  </r>
  <r>
    <s v="P023"/>
    <s v="Headphones"/>
    <s v="International"/>
    <x v="22"/>
    <d v="2023-06-06T00:00:00"/>
    <x v="5"/>
  </r>
  <r>
    <s v="P024"/>
    <s v="Printer"/>
    <s v="North"/>
    <x v="23"/>
    <d v="2023-06-13T00:00:00"/>
    <x v="5"/>
  </r>
  <r>
    <s v="P025"/>
    <s v="Laptop"/>
    <s v="South"/>
    <x v="24"/>
    <d v="2023-06-20T00:00:00"/>
    <x v="5"/>
  </r>
  <r>
    <s v="P026"/>
    <s v="Mobile Phone"/>
    <s v="East"/>
    <x v="25"/>
    <d v="2023-06-27T00:00:00"/>
    <x v="5"/>
  </r>
  <r>
    <s v="P027"/>
    <s v="Tablet"/>
    <s v="West"/>
    <x v="26"/>
    <d v="2023-07-04T00:00:00"/>
    <x v="6"/>
  </r>
  <r>
    <s v="P028"/>
    <s v="Smart Watch"/>
    <s v="Central"/>
    <x v="27"/>
    <d v="2023-07-11T00:00:00"/>
    <x v="6"/>
  </r>
  <r>
    <s v="P029"/>
    <s v="Headphones"/>
    <s v="International"/>
    <x v="28"/>
    <d v="2023-07-18T00:00:00"/>
    <x v="6"/>
  </r>
  <r>
    <s v="P030"/>
    <s v="Printer"/>
    <s v="North"/>
    <x v="29"/>
    <d v="2023-07-25T00:00:00"/>
    <x v="6"/>
  </r>
  <r>
    <s v="P031"/>
    <s v="Laptop"/>
    <s v="South"/>
    <x v="30"/>
    <d v="2024-01-03T00:00:00"/>
    <x v="7"/>
  </r>
  <r>
    <s v="P032"/>
    <s v="Mobile Phone"/>
    <s v="East"/>
    <x v="31"/>
    <d v="2024-01-10T00:00:00"/>
    <x v="7"/>
  </r>
  <r>
    <s v="P033"/>
    <s v="Tablet"/>
    <s v="West"/>
    <x v="32"/>
    <d v="2024-01-17T00:00:00"/>
    <x v="7"/>
  </r>
  <r>
    <s v="P034"/>
    <s v="Smart Watch"/>
    <s v="Central"/>
    <x v="33"/>
    <d v="2024-01-24T00:00:00"/>
    <x v="7"/>
  </r>
  <r>
    <s v="P035"/>
    <s v="Headphones"/>
    <s v="International"/>
    <x v="34"/>
    <d v="2024-02-01T00:00:00"/>
    <x v="8"/>
  </r>
  <r>
    <s v="P036"/>
    <s v="Printer"/>
    <s v="North"/>
    <x v="35"/>
    <d v="2024-02-08T00:00:00"/>
    <x v="8"/>
  </r>
  <r>
    <s v="P037"/>
    <s v="Laptop"/>
    <s v="South"/>
    <x v="36"/>
    <d v="2024-02-15T00:00:00"/>
    <x v="8"/>
  </r>
  <r>
    <s v="P038"/>
    <s v="Mobile Phone"/>
    <s v="East"/>
    <x v="37"/>
    <d v="2024-02-22T00:00:00"/>
    <x v="8"/>
  </r>
  <r>
    <s v="P039"/>
    <s v="Tablet"/>
    <s v="West"/>
    <x v="38"/>
    <d v="2024-03-01T00:00:00"/>
    <x v="9"/>
  </r>
  <r>
    <s v="P040"/>
    <s v="Smart Watch"/>
    <s v="Central"/>
    <x v="39"/>
    <d v="2024-03-08T00:00:00"/>
    <x v="9"/>
  </r>
  <r>
    <s v="P041"/>
    <s v="Headphones"/>
    <s v="International"/>
    <x v="40"/>
    <d v="2024-03-15T00:00:00"/>
    <x v="9"/>
  </r>
  <r>
    <s v="P042"/>
    <s v="Printer"/>
    <s v="North"/>
    <x v="41"/>
    <d v="2024-03-22T00:00:00"/>
    <x v="9"/>
  </r>
  <r>
    <s v="P043"/>
    <s v="Laptop"/>
    <s v="South"/>
    <x v="42"/>
    <d v="2024-03-29T00:00:00"/>
    <x v="9"/>
  </r>
  <r>
    <s v="P044"/>
    <s v="Mobile Phone"/>
    <s v="North"/>
    <x v="43"/>
    <d v="2024-04-05T00:00:00"/>
    <x v="10"/>
  </r>
  <r>
    <s v="P045"/>
    <s v="Smart Watch"/>
    <s v="International"/>
    <x v="44"/>
    <d v="2024-04-12T00:00:00"/>
    <x v="10"/>
  </r>
  <r>
    <s v="P046"/>
    <s v="Headphones"/>
    <s v="South"/>
    <x v="45"/>
    <d v="2024-04-19T00:00:00"/>
    <x v="10"/>
  </r>
  <r>
    <s v="P047"/>
    <s v="Printer"/>
    <s v="South"/>
    <x v="46"/>
    <d v="2024-04-26T00:00:00"/>
    <x v="10"/>
  </r>
  <r>
    <s v="P048"/>
    <s v="Laptop"/>
    <s v="International"/>
    <x v="47"/>
    <d v="2024-05-03T00:00:00"/>
    <x v="11"/>
  </r>
  <r>
    <s v="P049"/>
    <s v="Mobile Phone"/>
    <s v="South"/>
    <x v="48"/>
    <d v="2024-05-10T00:00:00"/>
    <x v="11"/>
  </r>
  <r>
    <s v="P050"/>
    <s v="Mobile Phone"/>
    <s v="North"/>
    <x v="49"/>
    <d v="2024-05-17T00:00:00"/>
    <x v="1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s v="Laptop"/>
    <s v="South"/>
    <n v="12500"/>
    <x v="0"/>
    <s v="January-2023"/>
    <n v="9600"/>
    <n v="2900"/>
    <n v="0.23200000000000001"/>
  </r>
  <r>
    <s v="P002"/>
    <s v="Mobile Phone"/>
    <s v="East"/>
    <n v="17890"/>
    <x v="1"/>
    <s v="January-2023"/>
    <n v="13500"/>
    <n v="4390"/>
    <n v="0.24538848518725545"/>
  </r>
  <r>
    <s v="P003"/>
    <s v="Tablet"/>
    <s v="West"/>
    <n v="15420"/>
    <x v="2"/>
    <s v="January-2023"/>
    <n v="11800"/>
    <n v="3620"/>
    <n v="0.23476005188067445"/>
  </r>
  <r>
    <s v="P004"/>
    <s v="Smart Watch"/>
    <s v="Central"/>
    <n v="9800"/>
    <x v="3"/>
    <s v="January-2023"/>
    <n v="7600"/>
    <n v="2200"/>
    <n v="0.22448979591836735"/>
  </r>
  <r>
    <s v="P005"/>
    <s v="Headphones"/>
    <s v="International"/>
    <n v="22150"/>
    <x v="4"/>
    <s v="February-2023"/>
    <n v="16800"/>
    <n v="5350"/>
    <n v="0.24153498871331827"/>
  </r>
  <r>
    <s v="P006"/>
    <s v="Printer"/>
    <s v="North"/>
    <n v="13400"/>
    <x v="5"/>
    <s v="February-2023"/>
    <n v="10200"/>
    <n v="3200"/>
    <n v="0.23880597014925373"/>
  </r>
  <r>
    <s v="P007"/>
    <s v="Laptop"/>
    <s v="South"/>
    <n v="16575"/>
    <x v="6"/>
    <s v="February-2023"/>
    <n v="12600"/>
    <n v="3975"/>
    <n v="0.23981900452488689"/>
  </r>
  <r>
    <s v="P008"/>
    <s v="Mobile Phone"/>
    <s v="East"/>
    <n v="18990"/>
    <x v="7"/>
    <s v="February-2023"/>
    <n v="14500"/>
    <n v="4490"/>
    <n v="0.2364402317008952"/>
  </r>
  <r>
    <s v="P009"/>
    <s v="Tablet"/>
    <s v="West"/>
    <n v="14350"/>
    <x v="8"/>
    <s v="March-2023"/>
    <n v="11000"/>
    <n v="3350"/>
    <n v="0.23344947735191637"/>
  </r>
  <r>
    <s v="P010"/>
    <s v="Smart Watch"/>
    <s v="Central"/>
    <n v="21000"/>
    <x v="9"/>
    <s v="March-2023"/>
    <n v="16000"/>
    <n v="5000"/>
    <n v="0.23809523809523808"/>
  </r>
  <r>
    <s v="P011"/>
    <s v="Headphones"/>
    <s v="International"/>
    <n v="9750"/>
    <x v="10"/>
    <s v="March-2023"/>
    <n v="7400"/>
    <n v="2350"/>
    <n v="0.24102564102564103"/>
  </r>
  <r>
    <s v="P012"/>
    <s v="Printer"/>
    <s v="North"/>
    <n v="16200"/>
    <x v="11"/>
    <s v="March-2023"/>
    <n v="12400"/>
    <n v="3800"/>
    <n v="0.23456790123456789"/>
  </r>
  <r>
    <s v="P013"/>
    <s v="Laptop"/>
    <s v="South"/>
    <n v="19840"/>
    <x v="12"/>
    <s v="March-2023"/>
    <n v="15100"/>
    <n v="4740"/>
    <n v="0.23891129032258066"/>
  </r>
  <r>
    <s v="P014"/>
    <s v="Mobile Phone"/>
    <s v="East"/>
    <n v="14760"/>
    <x v="13"/>
    <s v="April-2023"/>
    <n v="11300"/>
    <n v="3460"/>
    <n v="0.23441734417344173"/>
  </r>
  <r>
    <s v="P015"/>
    <s v="Tablet"/>
    <s v="West"/>
    <n v="23500"/>
    <x v="14"/>
    <s v="April-2023"/>
    <n v="17800"/>
    <n v="5700"/>
    <n v="0.24255319148936169"/>
  </r>
  <r>
    <s v="P016"/>
    <s v="Smart Watch"/>
    <s v="Central"/>
    <n v="12890"/>
    <x v="15"/>
    <s v="April-2023"/>
    <n v="9900"/>
    <n v="2990"/>
    <n v="0.23196276183087663"/>
  </r>
  <r>
    <s v="P017"/>
    <s v="Headphones"/>
    <s v="International"/>
    <n v="17120"/>
    <x v="16"/>
    <s v="April-2023"/>
    <n v="13000"/>
    <n v="4120"/>
    <n v="0.24065420560747663"/>
  </r>
  <r>
    <s v="P018"/>
    <s v="Printer"/>
    <s v="North"/>
    <n v="15950"/>
    <x v="17"/>
    <s v="May-2023"/>
    <n v="12100"/>
    <n v="3850"/>
    <n v="0.2413793103448276"/>
  </r>
  <r>
    <s v="P019"/>
    <s v="Laptop"/>
    <s v="South"/>
    <n v="20400"/>
    <x v="18"/>
    <s v="May-2023"/>
    <n v="15600"/>
    <n v="4800"/>
    <n v="0.23529411764705882"/>
  </r>
  <r>
    <s v="P020"/>
    <s v="Mobile Phone"/>
    <s v="East"/>
    <n v="18675"/>
    <x v="19"/>
    <s v="May-2023"/>
    <n v="14300"/>
    <n v="4375"/>
    <n v="0.23427041499330656"/>
  </r>
  <r>
    <s v="P021"/>
    <s v="Tablet"/>
    <s v="West"/>
    <n v="11200"/>
    <x v="20"/>
    <s v="May-2023"/>
    <n v="8600"/>
    <n v="2600"/>
    <n v="0.23214285714285715"/>
  </r>
  <r>
    <s v="P022"/>
    <s v="Smart Watch"/>
    <s v="Central"/>
    <n v="14500"/>
    <x v="21"/>
    <s v="May-2023"/>
    <n v="11100"/>
    <n v="3400"/>
    <n v="0.23448275862068965"/>
  </r>
  <r>
    <s v="P023"/>
    <s v="Headphones"/>
    <s v="International"/>
    <n v="19320"/>
    <x v="22"/>
    <s v="June-2023"/>
    <n v="14800"/>
    <n v="4520"/>
    <n v="0.23395445134575568"/>
  </r>
  <r>
    <s v="P024"/>
    <s v="Printer"/>
    <s v="North"/>
    <n v="16780"/>
    <x v="23"/>
    <s v="June-2023"/>
    <n v="12800"/>
    <n v="3980"/>
    <n v="0.23718712753277713"/>
  </r>
  <r>
    <s v="P025"/>
    <s v="Laptop"/>
    <s v="South"/>
    <n v="21890"/>
    <x v="24"/>
    <s v="June-2023"/>
    <n v="16700"/>
    <n v="5190"/>
    <n v="0.23709456372772955"/>
  </r>
  <r>
    <s v="P026"/>
    <s v="Mobile Phone"/>
    <s v="East"/>
    <n v="15640"/>
    <x v="25"/>
    <s v="June-2023"/>
    <n v="12000"/>
    <n v="3640"/>
    <n v="0.23273657289002558"/>
  </r>
  <r>
    <s v="P027"/>
    <s v="Tablet"/>
    <s v="West"/>
    <n v="9900"/>
    <x v="26"/>
    <s v="July-2023"/>
    <n v="7600"/>
    <n v="2300"/>
    <n v="0.23232323232323232"/>
  </r>
  <r>
    <s v="P028"/>
    <s v="Smart Watch"/>
    <s v="Central"/>
    <n v="18250"/>
    <x v="27"/>
    <s v="July-2023"/>
    <n v="13900"/>
    <n v="4350"/>
    <n v="0.23835616438356164"/>
  </r>
  <r>
    <s v="P029"/>
    <s v="Headphones"/>
    <s v="International"/>
    <n v="16990"/>
    <x v="28"/>
    <s v="July-2023"/>
    <n v="13000"/>
    <n v="3990"/>
    <n v="0.23484402589758682"/>
  </r>
  <r>
    <s v="P030"/>
    <s v="Printer"/>
    <s v="North"/>
    <n v="22400"/>
    <x v="29"/>
    <s v="July-2023"/>
    <n v="17100"/>
    <n v="5300"/>
    <n v="0.23660714285714285"/>
  </r>
  <r>
    <s v="P031"/>
    <s v="Laptop"/>
    <s v="South"/>
    <n v="13150"/>
    <x v="30"/>
    <s v="January-2024"/>
    <n v="10100"/>
    <n v="3050"/>
    <n v="0.23193916349809887"/>
  </r>
  <r>
    <s v="P032"/>
    <s v="Mobile Phone"/>
    <s v="East"/>
    <n v="17680"/>
    <x v="31"/>
    <s v="January-2024"/>
    <n v="13500"/>
    <n v="4180"/>
    <n v="0.23642533936651583"/>
  </r>
  <r>
    <s v="P033"/>
    <s v="Tablet"/>
    <s v="West"/>
    <n v="15890"/>
    <x v="32"/>
    <s v="January-2024"/>
    <n v="12100"/>
    <n v="3790"/>
    <n v="0.23851478917558214"/>
  </r>
  <r>
    <s v="P034"/>
    <s v="Smart Watch"/>
    <s v="Central"/>
    <n v="19500"/>
    <x v="33"/>
    <s v="January-2024"/>
    <n v="14900"/>
    <n v="4600"/>
    <n v="0.23589743589743589"/>
  </r>
  <r>
    <s v="P035"/>
    <s v="Headphones"/>
    <s v="International"/>
    <n v="14200"/>
    <x v="34"/>
    <s v="February-2024"/>
    <n v="10900"/>
    <n v="3300"/>
    <n v="0.23239436619718309"/>
  </r>
  <r>
    <s v="P036"/>
    <s v="Printer"/>
    <s v="North"/>
    <n v="20950"/>
    <x v="35"/>
    <s v="February-2024"/>
    <n v="16000"/>
    <n v="4950"/>
    <n v="0.23627684964200477"/>
  </r>
  <r>
    <s v="P037"/>
    <s v="Laptop"/>
    <s v="South"/>
    <n v="11800"/>
    <x v="36"/>
    <s v="February-2024"/>
    <n v="9000"/>
    <n v="2800"/>
    <n v="0.23728813559322035"/>
  </r>
  <r>
    <s v="P038"/>
    <s v="Mobile Phone"/>
    <s v="East"/>
    <n v="16430"/>
    <x v="37"/>
    <s v="February-2024"/>
    <n v="12500"/>
    <n v="3930"/>
    <n v="0.23919659160073037"/>
  </r>
  <r>
    <s v="P039"/>
    <s v="Tablet"/>
    <s v="West"/>
    <n v="18760"/>
    <x v="38"/>
    <s v="March-2024"/>
    <n v="14400"/>
    <n v="4360"/>
    <n v="0.23240938166311301"/>
  </r>
  <r>
    <s v="P040"/>
    <s v="Smart Watch"/>
    <s v="Central"/>
    <n v="15120"/>
    <x v="39"/>
    <s v="March-2024"/>
    <n v="11600"/>
    <n v="3520"/>
    <n v="0.23280423280423279"/>
  </r>
  <r>
    <s v="P041"/>
    <s v="Headphones"/>
    <s v="International"/>
    <n v="22900"/>
    <x v="40"/>
    <s v="March-2024"/>
    <n v="17500"/>
    <n v="5400"/>
    <n v="0.23580786026200873"/>
  </r>
  <r>
    <s v="P042"/>
    <s v="Printer"/>
    <s v="North"/>
    <n v="13780"/>
    <x v="41"/>
    <s v="March-2024"/>
    <n v="10500"/>
    <n v="3280"/>
    <n v="0.23802612481857766"/>
  </r>
  <r>
    <s v="P043"/>
    <s v="Laptop"/>
    <s v="South"/>
    <n v="17250"/>
    <x v="42"/>
    <s v="March-2024"/>
    <n v="13200"/>
    <n v="4050"/>
    <n v="0.23478260869565218"/>
  </r>
  <r>
    <s v="P044"/>
    <s v="Mobile Phone"/>
    <s v="North"/>
    <n v="16040"/>
    <x v="43"/>
    <s v="April-2024"/>
    <n v="12300"/>
    <n v="3740"/>
    <n v="0.23316708229426433"/>
  </r>
  <r>
    <s v="P045"/>
    <s v="Smart Watch"/>
    <s v="International"/>
    <n v="20100"/>
    <x v="44"/>
    <s v="April-2024"/>
    <n v="15400"/>
    <n v="4700"/>
    <n v="0.23383084577114427"/>
  </r>
  <r>
    <s v="P046"/>
    <s v="Headphones"/>
    <s v="South"/>
    <n v="18490"/>
    <x v="45"/>
    <s v="April-2024"/>
    <n v="14200"/>
    <n v="4290"/>
    <n v="0.23201730665224446"/>
  </r>
  <r>
    <s v="P047"/>
    <s v="Printer"/>
    <s v="South"/>
    <n v="12600"/>
    <x v="46"/>
    <s v="April-2024"/>
    <n v="9700"/>
    <n v="2900"/>
    <n v="0.23015873015873015"/>
  </r>
  <r>
    <s v="P048"/>
    <s v="Laptop"/>
    <s v="International"/>
    <n v="16890"/>
    <x v="47"/>
    <s v="May-2024"/>
    <n v="12900"/>
    <n v="3990"/>
    <n v="0.23623445825932504"/>
  </r>
  <r>
    <s v="P049"/>
    <s v="Mobile Phone"/>
    <s v="South"/>
    <n v="19120"/>
    <x v="48"/>
    <s v="May-2024"/>
    <n v="14600"/>
    <n v="4520"/>
    <n v="0.23640167364016737"/>
  </r>
  <r>
    <s v="P050"/>
    <s v="Mobile Phone"/>
    <s v="North"/>
    <n v="15500"/>
    <x v="49"/>
    <s v="May-2024"/>
    <n v="11900"/>
    <n v="3600"/>
    <n v="0.232258064516129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C63C95-5C57-4D6B-9A06-13ACC041DADC}" name="PivotTable12"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region-porduct">
  <location ref="E3:F21" firstHeaderRow="1" firstDataRow="1" firstDataCol="1"/>
  <pivotFields count="4">
    <pivotField showAll="0"/>
    <pivotField axis="axisRow" showAll="0">
      <items count="7">
        <item x="4"/>
        <item x="0"/>
        <item x="1"/>
        <item x="5"/>
        <item x="3"/>
        <item x="2"/>
        <item t="default"/>
      </items>
    </pivotField>
    <pivotField axis="axisRow" showAll="0">
      <items count="7">
        <item x="3"/>
        <item x="1"/>
        <item x="4"/>
        <item x="5"/>
        <item x="0"/>
        <item x="2"/>
        <item t="default"/>
      </items>
    </pivotField>
    <pivotField dataField="1" showAll="0"/>
  </pivotFields>
  <rowFields count="2">
    <field x="2"/>
    <field x="1"/>
  </rowFields>
  <rowItems count="18">
    <i>
      <x/>
    </i>
    <i r="1">
      <x v="4"/>
    </i>
    <i>
      <x v="1"/>
    </i>
    <i r="1">
      <x v="2"/>
    </i>
    <i>
      <x v="2"/>
    </i>
    <i r="1">
      <x/>
    </i>
    <i r="1">
      <x v="1"/>
    </i>
    <i r="1">
      <x v="4"/>
    </i>
    <i>
      <x v="3"/>
    </i>
    <i r="1">
      <x v="2"/>
    </i>
    <i r="1">
      <x v="3"/>
    </i>
    <i>
      <x v="4"/>
    </i>
    <i r="1">
      <x/>
    </i>
    <i r="1">
      <x v="1"/>
    </i>
    <i r="1">
      <x v="2"/>
    </i>
    <i r="1">
      <x v="3"/>
    </i>
    <i>
      <x v="5"/>
    </i>
    <i r="1">
      <x v="5"/>
    </i>
  </rowItems>
  <colItems count="1">
    <i/>
  </colItems>
  <dataFields count="1">
    <dataField name="Sum of total sales" fld="3" baseField="0" baseItem="0"/>
  </dataFields>
  <formats count="12">
    <format dxfId="28">
      <pivotArea type="all" dataOnly="0" outline="0" fieldPosition="0"/>
    </format>
    <format dxfId="27">
      <pivotArea outline="0" collapsedLevelsAreSubtotals="1" fieldPosition="0"/>
    </format>
    <format dxfId="26">
      <pivotArea field="2" type="button" dataOnly="0" labelOnly="1" outline="0" axis="axisRow" fieldPosition="0"/>
    </format>
    <format dxfId="25">
      <pivotArea dataOnly="0" labelOnly="1" fieldPosition="0">
        <references count="1">
          <reference field="2" count="0"/>
        </references>
      </pivotArea>
    </format>
    <format dxfId="24">
      <pivotArea dataOnly="0" labelOnly="1" grandRow="1" outline="0" fieldPosition="0"/>
    </format>
    <format dxfId="23">
      <pivotArea dataOnly="0" labelOnly="1" fieldPosition="0">
        <references count="2">
          <reference field="1" count="1">
            <x v="4"/>
          </reference>
          <reference field="2" count="1" selected="0">
            <x v="0"/>
          </reference>
        </references>
      </pivotArea>
    </format>
    <format dxfId="22">
      <pivotArea dataOnly="0" labelOnly="1" fieldPosition="0">
        <references count="2">
          <reference field="1" count="1">
            <x v="2"/>
          </reference>
          <reference field="2" count="1" selected="0">
            <x v="1"/>
          </reference>
        </references>
      </pivotArea>
    </format>
    <format dxfId="21">
      <pivotArea dataOnly="0" labelOnly="1" fieldPosition="0">
        <references count="2">
          <reference field="1" count="3">
            <x v="0"/>
            <x v="1"/>
            <x v="4"/>
          </reference>
          <reference field="2" count="1" selected="0">
            <x v="2"/>
          </reference>
        </references>
      </pivotArea>
    </format>
    <format dxfId="20">
      <pivotArea dataOnly="0" labelOnly="1" fieldPosition="0">
        <references count="2">
          <reference field="1" count="2">
            <x v="2"/>
            <x v="3"/>
          </reference>
          <reference field="2" count="1" selected="0">
            <x v="3"/>
          </reference>
        </references>
      </pivotArea>
    </format>
    <format dxfId="19">
      <pivotArea dataOnly="0" labelOnly="1" fieldPosition="0">
        <references count="2">
          <reference field="1" count="4">
            <x v="0"/>
            <x v="1"/>
            <x v="2"/>
            <x v="3"/>
          </reference>
          <reference field="2" count="1" selected="0">
            <x v="4"/>
          </reference>
        </references>
      </pivotArea>
    </format>
    <format dxfId="18">
      <pivotArea dataOnly="0" labelOnly="1" fieldPosition="0">
        <references count="2">
          <reference field="1" count="1">
            <x v="5"/>
          </reference>
          <reference field="2" count="1" selected="0">
            <x v="5"/>
          </reference>
        </references>
      </pivotArea>
    </format>
    <format dxfId="17">
      <pivotArea dataOnly="0" labelOnly="1" outline="0" axis="axisValues" fieldPosition="0"/>
    </format>
  </formats>
  <pivotTableStyleInfo name="PivotStyleDark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75E37F-D1E9-4C97-8DCD-6E27D5754FD7}" name="PivotTable1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product">
  <location ref="A3:B9" firstHeaderRow="1" firstDataRow="1" firstDataCol="1"/>
  <pivotFields count="4">
    <pivotField showAll="0"/>
    <pivotField axis="axisRow" showAll="0">
      <items count="7">
        <item x="4"/>
        <item x="0"/>
        <item x="1"/>
        <item x="5"/>
        <item x="3"/>
        <item x="2"/>
        <item t="default"/>
      </items>
    </pivotField>
    <pivotField showAll="0">
      <items count="7">
        <item x="3"/>
        <item x="1"/>
        <item x="4"/>
        <item x="5"/>
        <item x="0"/>
        <item x="2"/>
        <item t="default"/>
      </items>
    </pivotField>
    <pivotField dataField="1" showAll="0"/>
  </pivotFields>
  <rowFields count="1">
    <field x="1"/>
  </rowFields>
  <rowItems count="6">
    <i>
      <x/>
    </i>
    <i>
      <x v="1"/>
    </i>
    <i>
      <x v="2"/>
    </i>
    <i>
      <x v="3"/>
    </i>
    <i>
      <x v="4"/>
    </i>
    <i>
      <x v="5"/>
    </i>
  </rowItems>
  <colItems count="1">
    <i/>
  </colItems>
  <dataFields count="1">
    <dataField name="Sum of total sales" fld="3" baseField="0" baseItem="0"/>
  </dataFields>
  <formats count="6">
    <format dxfId="34">
      <pivotArea type="all" dataOnly="0" outline="0" fieldPosition="0"/>
    </format>
    <format dxfId="33">
      <pivotArea outline="0" collapsedLevelsAreSubtotals="1" fieldPosition="0"/>
    </format>
    <format dxfId="32">
      <pivotArea field="1" type="button" dataOnly="0" labelOnly="1" outline="0" axis="axisRow" fieldPosition="0"/>
    </format>
    <format dxfId="31">
      <pivotArea dataOnly="0" labelOnly="1" fieldPosition="0">
        <references count="1">
          <reference field="1" count="0"/>
        </references>
      </pivotArea>
    </format>
    <format dxfId="30">
      <pivotArea dataOnly="0" labelOnly="1" grandRow="1" outline="0" fieldPosition="0"/>
    </format>
    <format dxfId="29">
      <pivotArea dataOnly="0" labelOnly="1" outline="0" axis="axisValues" fieldPosition="0"/>
    </format>
  </formats>
  <pivotTableStyleInfo name="PivotStyleDark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8743B2-C605-4D66-9470-953DC99B4474}" name="PivotTable13" cacheId="1"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3" rowHeaderCaption="regions">
  <location ref="A3:B9" firstHeaderRow="1" firstDataRow="1" firstDataCol="1"/>
  <pivotFields count="5">
    <pivotField axis="axisRow" showAll="0">
      <items count="7">
        <item x="3"/>
        <item x="1"/>
        <item x="4"/>
        <item x="5"/>
        <item x="0"/>
        <item x="2"/>
        <item t="default"/>
      </items>
    </pivotField>
    <pivotField dataField="1" showAll="0"/>
    <pivotField showAll="0"/>
    <pivotField numFmtId="14" showAll="0"/>
    <pivotField showAll="0"/>
  </pivotFields>
  <rowFields count="1">
    <field x="0"/>
  </rowFields>
  <rowItems count="6">
    <i>
      <x/>
    </i>
    <i>
      <x v="1"/>
    </i>
    <i>
      <x v="2"/>
    </i>
    <i>
      <x v="3"/>
    </i>
    <i>
      <x v="4"/>
    </i>
    <i>
      <x v="5"/>
    </i>
  </rowItems>
  <colItems count="1">
    <i/>
  </colItems>
  <dataFields count="1">
    <dataField name="Total_sale_by_region" fld="1" baseField="0" baseItem="0"/>
  </dataFields>
  <chartFormats count="7">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0" count="1" selected="0">
            <x v="0"/>
          </reference>
        </references>
      </pivotArea>
    </chartFormat>
    <chartFormat chart="12" format="2">
      <pivotArea type="data" outline="0" fieldPosition="0">
        <references count="2">
          <reference field="4294967294" count="1" selected="0">
            <x v="0"/>
          </reference>
          <reference field="0" count="1" selected="0">
            <x v="1"/>
          </reference>
        </references>
      </pivotArea>
    </chartFormat>
    <chartFormat chart="12" format="3">
      <pivotArea type="data" outline="0" fieldPosition="0">
        <references count="2">
          <reference field="4294967294" count="1" selected="0">
            <x v="0"/>
          </reference>
          <reference field="0" count="1" selected="0">
            <x v="2"/>
          </reference>
        </references>
      </pivotArea>
    </chartFormat>
    <chartFormat chart="12" format="4">
      <pivotArea type="data" outline="0" fieldPosition="0">
        <references count="2">
          <reference field="4294967294" count="1" selected="0">
            <x v="0"/>
          </reference>
          <reference field="0" count="1" selected="0">
            <x v="3"/>
          </reference>
        </references>
      </pivotArea>
    </chartFormat>
    <chartFormat chart="12" format="5">
      <pivotArea type="data" outline="0" fieldPosition="0">
        <references count="2">
          <reference field="4294967294" count="1" selected="0">
            <x v="0"/>
          </reference>
          <reference field="0" count="1" selected="0">
            <x v="4"/>
          </reference>
        </references>
      </pivotArea>
    </chartFormat>
    <chartFormat chart="12" format="6">
      <pivotArea type="data" outline="0" fieldPosition="0">
        <references count="2">
          <reference field="4294967294" count="1" selected="0">
            <x v="0"/>
          </reference>
          <reference field="0" count="1" selected="0">
            <x v="5"/>
          </reference>
        </references>
      </pivotArea>
    </chartFormat>
  </chartFormats>
  <pivotTableStyleInfo name="PivotStyleDark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F0FAB85-489A-4AE0-9821-6BADAF4949C4}" name="PivotTable2" cacheId="2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2" rowHeaderCaption="month">
  <location ref="A3:B15" firstHeaderRow="1" firstDataRow="1" firstDataCol="1"/>
  <pivotFields count="6">
    <pivotField showAll="0"/>
    <pivotField showAll="0"/>
    <pivotField showAll="0"/>
    <pivotField dataField="1" showAll="0"/>
    <pivotField numFmtId="14" showAll="0"/>
    <pivotField axis="axisRow" showAll="0">
      <items count="20">
        <item m="1" x="15"/>
        <item m="1" x="14"/>
        <item m="1" x="13"/>
        <item m="1" x="16"/>
        <item m="1" x="17"/>
        <item m="1" x="12"/>
        <item m="1" x="18"/>
        <item x="0"/>
        <item x="1"/>
        <item x="2"/>
        <item x="3"/>
        <item x="4"/>
        <item x="5"/>
        <item x="6"/>
        <item x="7"/>
        <item x="8"/>
        <item x="9"/>
        <item x="10"/>
        <item x="11"/>
        <item t="default"/>
      </items>
    </pivotField>
  </pivotFields>
  <rowFields count="1">
    <field x="5"/>
  </rowFields>
  <rowItems count="12">
    <i>
      <x v="7"/>
    </i>
    <i>
      <x v="8"/>
    </i>
    <i>
      <x v="9"/>
    </i>
    <i>
      <x v="10"/>
    </i>
    <i>
      <x v="11"/>
    </i>
    <i>
      <x v="12"/>
    </i>
    <i>
      <x v="13"/>
    </i>
    <i>
      <x v="14"/>
    </i>
    <i>
      <x v="15"/>
    </i>
    <i>
      <x v="16"/>
    </i>
    <i>
      <x v="17"/>
    </i>
    <i>
      <x v="18"/>
    </i>
  </rowItems>
  <colItems count="1">
    <i/>
  </colItems>
  <dataFields count="1">
    <dataField name="Sum of total sales" fld="3" baseField="0" baseItem="0"/>
  </dataFields>
  <formats count="5">
    <format dxfId="12">
      <pivotArea type="all" dataOnly="0" outline="0" fieldPosition="0"/>
    </format>
    <format dxfId="13">
      <pivotArea outline="0" collapsedLevelsAreSubtotals="1" fieldPosition="0"/>
    </format>
    <format dxfId="14">
      <pivotArea field="5" type="button" dataOnly="0" labelOnly="1" outline="0" axis="axisRow" fieldPosition="0"/>
    </format>
    <format dxfId="15">
      <pivotArea dataOnly="0" labelOnly="1" fieldPosition="0">
        <references count="1">
          <reference field="5" count="0"/>
        </references>
      </pivotArea>
    </format>
    <format dxfId="16">
      <pivotArea dataOnly="0" labelOnly="1" outline="0" axis="axisValues"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Dark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2348CF-CB03-4E3E-8321-2386C047B36F}" name="PivotTable7" cacheId="2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3" firstHeaderRow="1" firstDataRow="1" firstDataCol="1"/>
  <pivotFields count="11">
    <pivotField showAll="0"/>
    <pivotField showAll="0"/>
    <pivotField showAll="0"/>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dataField="1" numFmtId="9" showAll="0"/>
    <pivotField axis="axisRow" showAll="0">
      <items count="7">
        <item sd="0" x="0"/>
        <item x="1"/>
        <item x="2"/>
        <item x="3"/>
        <item sd="0" x="4"/>
        <item sd="0" x="5"/>
        <item t="default"/>
      </items>
    </pivotField>
    <pivotField axis="axisRow" showAll="0">
      <items count="5">
        <item sd="0" x="0"/>
        <item x="1"/>
        <item x="2"/>
        <item sd="0" x="3"/>
        <item t="default"/>
      </items>
    </pivotField>
  </pivotFields>
  <rowFields count="3">
    <field x="10"/>
    <field x="9"/>
    <field x="4"/>
  </rowFields>
  <rowItems count="20">
    <i>
      <x v="1"/>
    </i>
    <i r="1">
      <x v="1"/>
    </i>
    <i r="2">
      <x v="1"/>
    </i>
    <i r="2">
      <x v="2"/>
    </i>
    <i r="2">
      <x v="3"/>
    </i>
    <i r="1">
      <x v="2"/>
    </i>
    <i r="2">
      <x v="4"/>
    </i>
    <i r="2">
      <x v="5"/>
    </i>
    <i r="2">
      <x v="6"/>
    </i>
    <i r="1">
      <x v="3"/>
    </i>
    <i r="2">
      <x v="7"/>
    </i>
    <i>
      <x v="2"/>
    </i>
    <i r="1">
      <x v="1"/>
    </i>
    <i r="2">
      <x v="1"/>
    </i>
    <i r="2">
      <x v="2"/>
    </i>
    <i r="2">
      <x v="3"/>
    </i>
    <i r="1">
      <x v="2"/>
    </i>
    <i r="2">
      <x v="4"/>
    </i>
    <i r="2">
      <x v="5"/>
    </i>
    <i t="grand">
      <x/>
    </i>
  </rowItems>
  <colItems count="1">
    <i/>
  </colItems>
  <dataFields count="1">
    <dataField name="Sum of Profit %" fld="8" baseField="0" baseItem="0" numFmtId="166"/>
  </dataFields>
  <formats count="1">
    <format dxfId="0">
      <pivotArea outline="0" collapsedLevelsAreSubtotals="1" fieldPosition="0"/>
    </format>
  </formats>
  <chartFormats count="1">
    <chartFormat chart="4" format="0"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B54617E6-E876-466C-B99E-C0B20FE6CBF1}" sourceName="Product Name">
  <pivotTables>
    <pivotTable tabId="17" name="PivotTable11"/>
    <pivotTable tabId="17" name="PivotTable12"/>
  </pivotTables>
  <data>
    <tabular pivotCacheId="988080162">
      <items count="6">
        <i x="4" s="1"/>
        <i x="0" s="1"/>
        <i x="1" s="1"/>
        <i x="5"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B96A472-8258-49D7-A69D-89CB1DA24D34}" sourceName="region">
  <pivotTables>
    <pivotTable tabId="17" name="PivotTable12"/>
    <pivotTable tabId="17" name="PivotTable11"/>
  </pivotTables>
  <data>
    <tabular pivotCacheId="988080162">
      <items count="6">
        <i x="3" s="1"/>
        <i x="1" s="1"/>
        <i x="4" s="1"/>
        <i x="5"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Name" xr10:uid="{94861FA2-0E11-467A-B579-990E3FBCFAFE}" cache="Slicer_Product_Name" caption="Product Name" style="SlicerStyleDark6" rowHeight="246660"/>
  <slicer name="region" xr10:uid="{0CA3599A-EA5D-45DD-9057-00696DC33386}" cache="Slicer_region" caption="region" style="SlicerStyleDark2" rowHeight="24666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9B1B034-AE0D-4B0D-A6E0-B071C71C0136}" name="Table14" displayName="Table14" ref="A1:I51" totalsRowShown="0" headerRowDxfId="2" dataDxfId="1">
  <autoFilter ref="A1:I51" xr:uid="{B22278AB-3A0B-4EDF-8558-EA94C02DD9B7}"/>
  <tableColumns count="9">
    <tableColumn id="1" xr3:uid="{18C074CB-CB2A-4F4E-A90D-3D1B54B8CB67}" name="Product ID" dataDxfId="11"/>
    <tableColumn id="2" xr3:uid="{CD8830CA-3D06-4D55-A4D5-36A78E8DC294}" name="Product Name" dataDxfId="10"/>
    <tableColumn id="3" xr3:uid="{629CC958-C253-4722-8BDE-1B71EB8A0C77}" name="region" dataDxfId="9"/>
    <tableColumn id="4" xr3:uid="{5F820ED2-9891-422F-BE1D-FAB471E1F565}" name="total sales" dataDxfId="8"/>
    <tableColumn id="5" xr3:uid="{7BA2FDCB-106E-4A83-ACBC-3D154DABB214}" name="sale_date" dataDxfId="7"/>
    <tableColumn id="6" xr3:uid="{59E97090-4570-49C6-B7CF-C045EF1BBE6E}" name="month of sale" dataDxfId="6"/>
    <tableColumn id="7" xr3:uid="{D803A722-CEF3-4463-930B-C344A466A62A}" name=" Cost Price" dataDxfId="5"/>
    <tableColumn id="8" xr3:uid="{CA08FEAE-474E-402E-AD9B-88F2DF51691D}" name="progfit" dataDxfId="4"/>
    <tableColumn id="9" xr3:uid="{54D27DEC-FAEE-4C73-B868-10D3209E69E4}" name="Profit %" dataDxfId="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B579EA-85C3-4865-A487-41D49B12992E}" name="Table1" displayName="Table1" ref="A1:B7" totalsRowShown="0">
  <autoFilter ref="A1:B7" xr:uid="{CE23BFEC-4D1B-4190-985D-F28910C8A999}"/>
  <tableColumns count="2">
    <tableColumn id="1" xr3:uid="{3801C07A-E334-48C8-BFBA-AE7D6B560803}" name="region"/>
    <tableColumn id="2" xr3:uid="{92BD3394-5227-45D1-950F-B3DDD8615C7A}" name="cod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6718F5-7402-4987-AC40-5717399521B1}" name="Table6" displayName="Table6" ref="A1:B51" totalsRowShown="0">
  <autoFilter ref="A1:B51" xr:uid="{CADADAC5-55CB-413A-AF6A-7B4E70FC1610}"/>
  <tableColumns count="2">
    <tableColumn id="1" xr3:uid="{38A9592A-06EA-466F-B3AB-DA978CD068FB}" name="Product ID "/>
    <tableColumn id="3" xr3:uid="{45F2C75F-B074-4C63-B614-BCC5C0BA6EE9}" name=" Sub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0454B-32DA-49F7-97D6-2D85A1B20D5B}">
  <dimension ref="A3:F21"/>
  <sheetViews>
    <sheetView workbookViewId="0">
      <selection activeCell="C21" sqref="C21"/>
    </sheetView>
  </sheetViews>
  <sheetFormatPr defaultRowHeight="14.5" x14ac:dyDescent="0.35"/>
  <cols>
    <col min="1" max="1" width="12.33203125" bestFit="1" customWidth="1"/>
    <col min="2" max="2" width="15.58203125" bestFit="1" customWidth="1"/>
    <col min="5" max="5" width="16" bestFit="1" customWidth="1"/>
    <col min="6" max="6" width="15.58203125" bestFit="1" customWidth="1"/>
  </cols>
  <sheetData>
    <row r="3" spans="1:6" x14ac:dyDescent="0.35">
      <c r="A3" s="5" t="s">
        <v>70</v>
      </c>
      <c r="B3" s="6" t="s">
        <v>66</v>
      </c>
      <c r="E3" s="5" t="s">
        <v>71</v>
      </c>
      <c r="F3" s="6" t="s">
        <v>66</v>
      </c>
    </row>
    <row r="4" spans="1:6" x14ac:dyDescent="0.35">
      <c r="A4" s="7" t="s">
        <v>62</v>
      </c>
      <c r="B4" s="8">
        <v>140920</v>
      </c>
      <c r="E4" s="7" t="s">
        <v>56</v>
      </c>
      <c r="F4" s="8">
        <v>111060</v>
      </c>
    </row>
    <row r="5" spans="1:6" x14ac:dyDescent="0.35">
      <c r="A5" s="7" t="s">
        <v>58</v>
      </c>
      <c r="B5" s="8">
        <v>150295</v>
      </c>
      <c r="E5" s="9" t="s">
        <v>61</v>
      </c>
      <c r="F5" s="8">
        <v>111060</v>
      </c>
    </row>
    <row r="6" spans="1:6" x14ac:dyDescent="0.35">
      <c r="A6" s="7" t="s">
        <v>59</v>
      </c>
      <c r="B6" s="8">
        <v>170725</v>
      </c>
      <c r="E6" s="7" t="s">
        <v>54</v>
      </c>
      <c r="F6" s="8">
        <v>120065</v>
      </c>
    </row>
    <row r="7" spans="1:6" x14ac:dyDescent="0.35">
      <c r="A7" s="7" t="s">
        <v>63</v>
      </c>
      <c r="B7" s="8">
        <v>132060</v>
      </c>
      <c r="E7" s="9" t="s">
        <v>59</v>
      </c>
      <c r="F7" s="8">
        <v>120065</v>
      </c>
    </row>
    <row r="8" spans="1:6" x14ac:dyDescent="0.35">
      <c r="A8" s="7" t="s">
        <v>61</v>
      </c>
      <c r="B8" s="8">
        <v>131160</v>
      </c>
      <c r="E8" s="7" t="s">
        <v>57</v>
      </c>
      <c r="F8" s="8">
        <v>159420</v>
      </c>
    </row>
    <row r="9" spans="1:6" x14ac:dyDescent="0.35">
      <c r="A9" s="7" t="s">
        <v>60</v>
      </c>
      <c r="B9" s="8">
        <v>109020</v>
      </c>
      <c r="E9" s="9" t="s">
        <v>62</v>
      </c>
      <c r="F9" s="8">
        <v>122430</v>
      </c>
    </row>
    <row r="10" spans="1:6" x14ac:dyDescent="0.35">
      <c r="E10" s="9" t="s">
        <v>58</v>
      </c>
      <c r="F10" s="8">
        <v>16890</v>
      </c>
    </row>
    <row r="11" spans="1:6" x14ac:dyDescent="0.35">
      <c r="E11" s="9" t="s">
        <v>61</v>
      </c>
      <c r="F11" s="8">
        <v>20100</v>
      </c>
    </row>
    <row r="12" spans="1:6" x14ac:dyDescent="0.35">
      <c r="E12" s="7" t="s">
        <v>52</v>
      </c>
      <c r="F12" s="8">
        <v>151000</v>
      </c>
    </row>
    <row r="13" spans="1:6" x14ac:dyDescent="0.35">
      <c r="E13" s="9" t="s">
        <v>59</v>
      </c>
      <c r="F13" s="8">
        <v>31540</v>
      </c>
    </row>
    <row r="14" spans="1:6" x14ac:dyDescent="0.35">
      <c r="E14" s="9" t="s">
        <v>63</v>
      </c>
      <c r="F14" s="8">
        <v>119460</v>
      </c>
    </row>
    <row r="15" spans="1:6" x14ac:dyDescent="0.35">
      <c r="E15" s="7" t="s">
        <v>53</v>
      </c>
      <c r="F15" s="8">
        <v>183615</v>
      </c>
    </row>
    <row r="16" spans="1:6" x14ac:dyDescent="0.35">
      <c r="E16" s="9" t="s">
        <v>62</v>
      </c>
      <c r="F16" s="8">
        <v>18490</v>
      </c>
    </row>
    <row r="17" spans="5:6" x14ac:dyDescent="0.35">
      <c r="E17" s="9" t="s">
        <v>58</v>
      </c>
      <c r="F17" s="8">
        <v>133405</v>
      </c>
    </row>
    <row r="18" spans="5:6" x14ac:dyDescent="0.35">
      <c r="E18" s="9" t="s">
        <v>59</v>
      </c>
      <c r="F18" s="8">
        <v>19120</v>
      </c>
    </row>
    <row r="19" spans="5:6" x14ac:dyDescent="0.35">
      <c r="E19" s="9" t="s">
        <v>63</v>
      </c>
      <c r="F19" s="8">
        <v>12600</v>
      </c>
    </row>
    <row r="20" spans="5:6" x14ac:dyDescent="0.35">
      <c r="E20" s="7" t="s">
        <v>55</v>
      </c>
      <c r="F20" s="8">
        <v>109020</v>
      </c>
    </row>
    <row r="21" spans="5:6" x14ac:dyDescent="0.35">
      <c r="E21" s="9" t="s">
        <v>60</v>
      </c>
      <c r="F21" s="8">
        <v>109020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138FD-8B99-4BDF-A278-C71A7BCBF08E}">
  <dimension ref="A3:B9"/>
  <sheetViews>
    <sheetView workbookViewId="0">
      <selection activeCell="O7" sqref="O7"/>
    </sheetView>
  </sheetViews>
  <sheetFormatPr defaultRowHeight="14.5" x14ac:dyDescent="0.35"/>
  <cols>
    <col min="1" max="1" width="11.58203125" bestFit="1" customWidth="1"/>
    <col min="2" max="2" width="18.83203125" bestFit="1" customWidth="1"/>
  </cols>
  <sheetData>
    <row r="3" spans="1:2" x14ac:dyDescent="0.35">
      <c r="A3" s="2" t="s">
        <v>68</v>
      </c>
      <c r="B3" t="s">
        <v>69</v>
      </c>
    </row>
    <row r="4" spans="1:2" x14ac:dyDescent="0.35">
      <c r="A4" s="3" t="s">
        <v>56</v>
      </c>
      <c r="B4" s="4">
        <v>111060</v>
      </c>
    </row>
    <row r="5" spans="1:2" x14ac:dyDescent="0.35">
      <c r="A5" s="3" t="s">
        <v>54</v>
      </c>
      <c r="B5" s="4">
        <v>120065</v>
      </c>
    </row>
    <row r="6" spans="1:2" x14ac:dyDescent="0.35">
      <c r="A6" s="3" t="s">
        <v>57</v>
      </c>
      <c r="B6" s="4">
        <v>159420</v>
      </c>
    </row>
    <row r="7" spans="1:2" x14ac:dyDescent="0.35">
      <c r="A7" s="3" t="s">
        <v>52</v>
      </c>
      <c r="B7" s="4">
        <v>151000</v>
      </c>
    </row>
    <row r="8" spans="1:2" x14ac:dyDescent="0.35">
      <c r="A8" s="3" t="s">
        <v>53</v>
      </c>
      <c r="B8" s="4">
        <v>183615</v>
      </c>
    </row>
    <row r="9" spans="1:2" x14ac:dyDescent="0.35">
      <c r="A9" s="3" t="s">
        <v>55</v>
      </c>
      <c r="B9" s="4">
        <v>109020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56ABE-3662-44F3-9740-0E2E5DA5AEB8}">
  <dimension ref="A3:B15"/>
  <sheetViews>
    <sheetView topLeftCell="B1" zoomScale="115" zoomScaleNormal="115" workbookViewId="0">
      <selection activeCell="O8" sqref="O8"/>
    </sheetView>
  </sheetViews>
  <sheetFormatPr defaultRowHeight="14.5" x14ac:dyDescent="0.35"/>
  <cols>
    <col min="1" max="1" width="12.6640625" bestFit="1" customWidth="1"/>
    <col min="2" max="2" width="15.58203125" bestFit="1" customWidth="1"/>
  </cols>
  <sheetData>
    <row r="3" spans="1:2" x14ac:dyDescent="0.35">
      <c r="A3" s="5" t="s">
        <v>158</v>
      </c>
      <c r="B3" s="6" t="s">
        <v>66</v>
      </c>
    </row>
    <row r="4" spans="1:2" x14ac:dyDescent="0.35">
      <c r="A4" s="7" t="s">
        <v>146</v>
      </c>
      <c r="B4" s="8">
        <v>55610</v>
      </c>
    </row>
    <row r="5" spans="1:2" x14ac:dyDescent="0.35">
      <c r="A5" s="7" t="s">
        <v>147</v>
      </c>
      <c r="B5" s="8">
        <v>71115</v>
      </c>
    </row>
    <row r="6" spans="1:2" x14ac:dyDescent="0.35">
      <c r="A6" s="7" t="s">
        <v>148</v>
      </c>
      <c r="B6" s="8">
        <v>81140</v>
      </c>
    </row>
    <row r="7" spans="1:2" x14ac:dyDescent="0.35">
      <c r="A7" s="7" t="s">
        <v>149</v>
      </c>
      <c r="B7" s="8">
        <v>68270</v>
      </c>
    </row>
    <row r="8" spans="1:2" x14ac:dyDescent="0.35">
      <c r="A8" s="7" t="s">
        <v>150</v>
      </c>
      <c r="B8" s="8">
        <v>80725</v>
      </c>
    </row>
    <row r="9" spans="1:2" x14ac:dyDescent="0.35">
      <c r="A9" s="7" t="s">
        <v>151</v>
      </c>
      <c r="B9" s="8">
        <v>73630</v>
      </c>
    </row>
    <row r="10" spans="1:2" x14ac:dyDescent="0.35">
      <c r="A10" s="7" t="s">
        <v>152</v>
      </c>
      <c r="B10" s="8">
        <v>67540</v>
      </c>
    </row>
    <row r="11" spans="1:2" x14ac:dyDescent="0.35">
      <c r="A11" s="7" t="s">
        <v>153</v>
      </c>
      <c r="B11" s="8">
        <v>66220</v>
      </c>
    </row>
    <row r="12" spans="1:2" x14ac:dyDescent="0.35">
      <c r="A12" s="7" t="s">
        <v>154</v>
      </c>
      <c r="B12" s="8">
        <v>63380</v>
      </c>
    </row>
    <row r="13" spans="1:2" x14ac:dyDescent="0.35">
      <c r="A13" s="7" t="s">
        <v>155</v>
      </c>
      <c r="B13" s="8">
        <v>87810</v>
      </c>
    </row>
    <row r="14" spans="1:2" x14ac:dyDescent="0.35">
      <c r="A14" s="7" t="s">
        <v>156</v>
      </c>
      <c r="B14" s="8">
        <v>67230</v>
      </c>
    </row>
    <row r="15" spans="1:2" x14ac:dyDescent="0.35">
      <c r="A15" s="7" t="s">
        <v>157</v>
      </c>
      <c r="B15" s="8">
        <v>51510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8588B-2F54-403E-8580-F5996B917ACD}">
  <dimension ref="A1:I51"/>
  <sheetViews>
    <sheetView workbookViewId="0">
      <selection activeCell="F11" sqref="F11"/>
    </sheetView>
  </sheetViews>
  <sheetFormatPr defaultRowHeight="14.5" x14ac:dyDescent="0.35"/>
  <cols>
    <col min="1" max="1" width="11.4140625" customWidth="1"/>
    <col min="2" max="2" width="14.6640625" customWidth="1"/>
    <col min="4" max="4" width="11.1640625" customWidth="1"/>
    <col min="5" max="5" width="10.75" style="11" customWidth="1"/>
    <col min="6" max="6" width="14.1640625" customWidth="1"/>
    <col min="7" max="7" width="11.33203125" customWidth="1"/>
    <col min="9" max="9" width="9.33203125" style="12" customWidth="1"/>
  </cols>
  <sheetData>
    <row r="1" spans="1:9" x14ac:dyDescent="0.35">
      <c r="A1" s="1" t="s">
        <v>0</v>
      </c>
      <c r="B1" s="1" t="s">
        <v>1</v>
      </c>
      <c r="C1" s="1" t="s">
        <v>64</v>
      </c>
      <c r="D1" s="1" t="s">
        <v>65</v>
      </c>
      <c r="E1" s="10" t="s">
        <v>67</v>
      </c>
      <c r="F1" s="1" t="s">
        <v>142</v>
      </c>
      <c r="G1" s="1" t="s">
        <v>159</v>
      </c>
      <c r="H1" s="1" t="s">
        <v>160</v>
      </c>
      <c r="I1" s="13" t="s">
        <v>161</v>
      </c>
    </row>
    <row r="2" spans="1:9" x14ac:dyDescent="0.35">
      <c r="A2" s="1" t="s">
        <v>2</v>
      </c>
      <c r="B2" s="1" t="s">
        <v>58</v>
      </c>
      <c r="C2" s="1" t="s">
        <v>53</v>
      </c>
      <c r="D2" s="1">
        <v>12500</v>
      </c>
      <c r="E2" s="10">
        <v>44931</v>
      </c>
      <c r="F2" s="1" t="s">
        <v>146</v>
      </c>
      <c r="G2" s="1">
        <v>9600</v>
      </c>
      <c r="H2" s="1">
        <v>2900</v>
      </c>
      <c r="I2" s="13">
        <v>0.23200000000000001</v>
      </c>
    </row>
    <row r="3" spans="1:9" x14ac:dyDescent="0.35">
      <c r="A3" s="1" t="s">
        <v>3</v>
      </c>
      <c r="B3" s="1" t="s">
        <v>59</v>
      </c>
      <c r="C3" s="1" t="s">
        <v>54</v>
      </c>
      <c r="D3" s="1">
        <v>17890</v>
      </c>
      <c r="E3" s="10">
        <v>44938</v>
      </c>
      <c r="F3" s="1" t="s">
        <v>146</v>
      </c>
      <c r="G3" s="1">
        <v>13500</v>
      </c>
      <c r="H3" s="1">
        <v>4390</v>
      </c>
      <c r="I3" s="13">
        <v>0.24538848518725545</v>
      </c>
    </row>
    <row r="4" spans="1:9" x14ac:dyDescent="0.35">
      <c r="A4" s="1" t="s">
        <v>4</v>
      </c>
      <c r="B4" s="1" t="s">
        <v>60</v>
      </c>
      <c r="C4" s="1" t="s">
        <v>55</v>
      </c>
      <c r="D4" s="1">
        <v>15420</v>
      </c>
      <c r="E4" s="10">
        <v>44944</v>
      </c>
      <c r="F4" s="1" t="s">
        <v>146</v>
      </c>
      <c r="G4" s="1">
        <v>11800</v>
      </c>
      <c r="H4" s="1">
        <v>3620</v>
      </c>
      <c r="I4" s="13">
        <v>0.23476005188067445</v>
      </c>
    </row>
    <row r="5" spans="1:9" x14ac:dyDescent="0.35">
      <c r="A5" s="1" t="s">
        <v>5</v>
      </c>
      <c r="B5" s="1" t="s">
        <v>61</v>
      </c>
      <c r="C5" s="1" t="s">
        <v>56</v>
      </c>
      <c r="D5" s="1">
        <v>9800</v>
      </c>
      <c r="E5" s="10">
        <v>44951</v>
      </c>
      <c r="F5" s="1" t="s">
        <v>146</v>
      </c>
      <c r="G5" s="1">
        <v>7600</v>
      </c>
      <c r="H5" s="1">
        <v>2200</v>
      </c>
      <c r="I5" s="13">
        <v>0.22448979591836735</v>
      </c>
    </row>
    <row r="6" spans="1:9" x14ac:dyDescent="0.35">
      <c r="A6" s="1" t="s">
        <v>6</v>
      </c>
      <c r="B6" s="1" t="s">
        <v>62</v>
      </c>
      <c r="C6" s="1" t="s">
        <v>57</v>
      </c>
      <c r="D6" s="1">
        <v>22150</v>
      </c>
      <c r="E6" s="10">
        <v>44959</v>
      </c>
      <c r="F6" s="1" t="s">
        <v>147</v>
      </c>
      <c r="G6" s="1">
        <v>16800</v>
      </c>
      <c r="H6" s="1">
        <v>5350</v>
      </c>
      <c r="I6" s="13">
        <v>0.24153498871331827</v>
      </c>
    </row>
    <row r="7" spans="1:9" x14ac:dyDescent="0.35">
      <c r="A7" s="1" t="s">
        <v>7</v>
      </c>
      <c r="B7" s="1" t="s">
        <v>63</v>
      </c>
      <c r="C7" s="1" t="s">
        <v>52</v>
      </c>
      <c r="D7" s="1">
        <v>13400</v>
      </c>
      <c r="E7" s="10">
        <v>44965</v>
      </c>
      <c r="F7" s="1" t="s">
        <v>147</v>
      </c>
      <c r="G7" s="1">
        <v>10200</v>
      </c>
      <c r="H7" s="1">
        <v>3200</v>
      </c>
      <c r="I7" s="13">
        <v>0.23880597014925373</v>
      </c>
    </row>
    <row r="8" spans="1:9" x14ac:dyDescent="0.35">
      <c r="A8" s="1" t="s">
        <v>8</v>
      </c>
      <c r="B8" s="1" t="s">
        <v>58</v>
      </c>
      <c r="C8" s="1" t="s">
        <v>53</v>
      </c>
      <c r="D8" s="1">
        <v>16575</v>
      </c>
      <c r="E8" s="10">
        <v>44972</v>
      </c>
      <c r="F8" s="1" t="s">
        <v>147</v>
      </c>
      <c r="G8" s="1">
        <v>12600</v>
      </c>
      <c r="H8" s="1">
        <v>3975</v>
      </c>
      <c r="I8" s="13">
        <v>0.23981900452488689</v>
      </c>
    </row>
    <row r="9" spans="1:9" x14ac:dyDescent="0.35">
      <c r="A9" s="1" t="s">
        <v>9</v>
      </c>
      <c r="B9" s="1" t="s">
        <v>59</v>
      </c>
      <c r="C9" s="1" t="s">
        <v>54</v>
      </c>
      <c r="D9" s="1">
        <v>18990</v>
      </c>
      <c r="E9" s="10">
        <v>44979</v>
      </c>
      <c r="F9" s="1" t="s">
        <v>147</v>
      </c>
      <c r="G9" s="1">
        <v>14500</v>
      </c>
      <c r="H9" s="1">
        <v>4490</v>
      </c>
      <c r="I9" s="13">
        <v>0.2364402317008952</v>
      </c>
    </row>
    <row r="10" spans="1:9" x14ac:dyDescent="0.35">
      <c r="A10" s="1" t="s">
        <v>10</v>
      </c>
      <c r="B10" s="1" t="s">
        <v>60</v>
      </c>
      <c r="C10" s="1" t="s">
        <v>55</v>
      </c>
      <c r="D10" s="1">
        <v>14350</v>
      </c>
      <c r="E10" s="10">
        <v>44986</v>
      </c>
      <c r="F10" s="1" t="s">
        <v>148</v>
      </c>
      <c r="G10" s="1">
        <v>11000</v>
      </c>
      <c r="H10" s="1">
        <v>3350</v>
      </c>
      <c r="I10" s="13">
        <v>0.23344947735191637</v>
      </c>
    </row>
    <row r="11" spans="1:9" x14ac:dyDescent="0.35">
      <c r="A11" s="1" t="s">
        <v>11</v>
      </c>
      <c r="B11" s="1" t="s">
        <v>61</v>
      </c>
      <c r="C11" s="1" t="s">
        <v>56</v>
      </c>
      <c r="D11" s="1">
        <v>21000</v>
      </c>
      <c r="E11" s="10">
        <v>44992</v>
      </c>
      <c r="F11" s="1" t="s">
        <v>148</v>
      </c>
      <c r="G11" s="1">
        <v>16000</v>
      </c>
      <c r="H11" s="1">
        <v>5000</v>
      </c>
      <c r="I11" s="13">
        <v>0.23809523809523808</v>
      </c>
    </row>
    <row r="12" spans="1:9" x14ac:dyDescent="0.35">
      <c r="A12" s="1" t="s">
        <v>12</v>
      </c>
      <c r="B12" s="1" t="s">
        <v>62</v>
      </c>
      <c r="C12" s="1" t="s">
        <v>57</v>
      </c>
      <c r="D12" s="1">
        <v>9750</v>
      </c>
      <c r="E12" s="10">
        <v>44999</v>
      </c>
      <c r="F12" s="1" t="s">
        <v>148</v>
      </c>
      <c r="G12" s="1">
        <v>7400</v>
      </c>
      <c r="H12" s="1">
        <v>2350</v>
      </c>
      <c r="I12" s="13">
        <v>0.24102564102564103</v>
      </c>
    </row>
    <row r="13" spans="1:9" x14ac:dyDescent="0.35">
      <c r="A13" s="1" t="s">
        <v>13</v>
      </c>
      <c r="B13" s="1" t="s">
        <v>63</v>
      </c>
      <c r="C13" s="1" t="s">
        <v>52</v>
      </c>
      <c r="D13" s="1">
        <v>16200</v>
      </c>
      <c r="E13" s="10">
        <v>45006</v>
      </c>
      <c r="F13" s="1" t="s">
        <v>148</v>
      </c>
      <c r="G13" s="1">
        <v>12400</v>
      </c>
      <c r="H13" s="1">
        <v>3800</v>
      </c>
      <c r="I13" s="13">
        <v>0.23456790123456789</v>
      </c>
    </row>
    <row r="14" spans="1:9" x14ac:dyDescent="0.35">
      <c r="A14" s="1" t="s">
        <v>14</v>
      </c>
      <c r="B14" s="1" t="s">
        <v>58</v>
      </c>
      <c r="C14" s="1" t="s">
        <v>53</v>
      </c>
      <c r="D14" s="1">
        <v>19840</v>
      </c>
      <c r="E14" s="10">
        <v>45013</v>
      </c>
      <c r="F14" s="1" t="s">
        <v>148</v>
      </c>
      <c r="G14" s="1">
        <v>15100</v>
      </c>
      <c r="H14" s="1">
        <v>4740</v>
      </c>
      <c r="I14" s="13">
        <v>0.23891129032258066</v>
      </c>
    </row>
    <row r="15" spans="1:9" x14ac:dyDescent="0.35">
      <c r="A15" s="1" t="s">
        <v>15</v>
      </c>
      <c r="B15" s="1" t="s">
        <v>59</v>
      </c>
      <c r="C15" s="1" t="s">
        <v>54</v>
      </c>
      <c r="D15" s="1">
        <v>14760</v>
      </c>
      <c r="E15" s="10">
        <v>45020</v>
      </c>
      <c r="F15" s="1" t="s">
        <v>149</v>
      </c>
      <c r="G15" s="1">
        <v>11300</v>
      </c>
      <c r="H15" s="1">
        <v>3460</v>
      </c>
      <c r="I15" s="13">
        <v>0.23441734417344173</v>
      </c>
    </row>
    <row r="16" spans="1:9" x14ac:dyDescent="0.35">
      <c r="A16" s="1" t="s">
        <v>16</v>
      </c>
      <c r="B16" s="1" t="s">
        <v>60</v>
      </c>
      <c r="C16" s="1" t="s">
        <v>55</v>
      </c>
      <c r="D16" s="1">
        <v>23500</v>
      </c>
      <c r="E16" s="10">
        <v>45027</v>
      </c>
      <c r="F16" s="1" t="s">
        <v>149</v>
      </c>
      <c r="G16" s="1">
        <v>17800</v>
      </c>
      <c r="H16" s="1">
        <v>5700</v>
      </c>
      <c r="I16" s="13">
        <v>0.24255319148936169</v>
      </c>
    </row>
    <row r="17" spans="1:9" x14ac:dyDescent="0.35">
      <c r="A17" s="1" t="s">
        <v>17</v>
      </c>
      <c r="B17" s="1" t="s">
        <v>61</v>
      </c>
      <c r="C17" s="1" t="s">
        <v>56</v>
      </c>
      <c r="D17" s="1">
        <v>12890</v>
      </c>
      <c r="E17" s="10">
        <v>45034</v>
      </c>
      <c r="F17" s="1" t="s">
        <v>149</v>
      </c>
      <c r="G17" s="1">
        <v>9900</v>
      </c>
      <c r="H17" s="1">
        <v>2990</v>
      </c>
      <c r="I17" s="13">
        <v>0.23196276183087663</v>
      </c>
    </row>
    <row r="18" spans="1:9" x14ac:dyDescent="0.35">
      <c r="A18" s="1" t="s">
        <v>18</v>
      </c>
      <c r="B18" s="1" t="s">
        <v>62</v>
      </c>
      <c r="C18" s="1" t="s">
        <v>57</v>
      </c>
      <c r="D18" s="1">
        <v>17120</v>
      </c>
      <c r="E18" s="10">
        <v>45041</v>
      </c>
      <c r="F18" s="1" t="s">
        <v>149</v>
      </c>
      <c r="G18" s="1">
        <v>13000</v>
      </c>
      <c r="H18" s="1">
        <v>4120</v>
      </c>
      <c r="I18" s="13">
        <v>0.24065420560747663</v>
      </c>
    </row>
    <row r="19" spans="1:9" x14ac:dyDescent="0.35">
      <c r="A19" s="1" t="s">
        <v>19</v>
      </c>
      <c r="B19" s="1" t="s">
        <v>63</v>
      </c>
      <c r="C19" s="1" t="s">
        <v>52</v>
      </c>
      <c r="D19" s="1">
        <v>15950</v>
      </c>
      <c r="E19" s="10">
        <v>45048</v>
      </c>
      <c r="F19" s="1" t="s">
        <v>150</v>
      </c>
      <c r="G19" s="1">
        <v>12100</v>
      </c>
      <c r="H19" s="1">
        <v>3850</v>
      </c>
      <c r="I19" s="13">
        <v>0.2413793103448276</v>
      </c>
    </row>
    <row r="20" spans="1:9" x14ac:dyDescent="0.35">
      <c r="A20" s="1" t="s">
        <v>20</v>
      </c>
      <c r="B20" s="1" t="s">
        <v>58</v>
      </c>
      <c r="C20" s="1" t="s">
        <v>53</v>
      </c>
      <c r="D20" s="1">
        <v>20400</v>
      </c>
      <c r="E20" s="10">
        <v>45055</v>
      </c>
      <c r="F20" s="1" t="s">
        <v>150</v>
      </c>
      <c r="G20" s="1">
        <v>15600</v>
      </c>
      <c r="H20" s="1">
        <v>4800</v>
      </c>
      <c r="I20" s="13">
        <v>0.23529411764705882</v>
      </c>
    </row>
    <row r="21" spans="1:9" x14ac:dyDescent="0.35">
      <c r="A21" s="1" t="s">
        <v>21</v>
      </c>
      <c r="B21" s="1" t="s">
        <v>59</v>
      </c>
      <c r="C21" s="1" t="s">
        <v>54</v>
      </c>
      <c r="D21" s="1">
        <v>18675</v>
      </c>
      <c r="E21" s="10">
        <v>45062</v>
      </c>
      <c r="F21" s="1" t="s">
        <v>150</v>
      </c>
      <c r="G21" s="1">
        <v>14300</v>
      </c>
      <c r="H21" s="1">
        <v>4375</v>
      </c>
      <c r="I21" s="13">
        <v>0.23427041499330656</v>
      </c>
    </row>
    <row r="22" spans="1:9" x14ac:dyDescent="0.35">
      <c r="A22" s="1" t="s">
        <v>22</v>
      </c>
      <c r="B22" s="1" t="s">
        <v>60</v>
      </c>
      <c r="C22" s="1" t="s">
        <v>55</v>
      </c>
      <c r="D22" s="1">
        <v>11200</v>
      </c>
      <c r="E22" s="10">
        <v>45069</v>
      </c>
      <c r="F22" s="1" t="s">
        <v>150</v>
      </c>
      <c r="G22" s="1">
        <v>8600</v>
      </c>
      <c r="H22" s="1">
        <v>2600</v>
      </c>
      <c r="I22" s="13">
        <v>0.23214285714285715</v>
      </c>
    </row>
    <row r="23" spans="1:9" x14ac:dyDescent="0.35">
      <c r="A23" s="1" t="s">
        <v>23</v>
      </c>
      <c r="B23" s="1" t="s">
        <v>61</v>
      </c>
      <c r="C23" s="1" t="s">
        <v>56</v>
      </c>
      <c r="D23" s="1">
        <v>14500</v>
      </c>
      <c r="E23" s="10">
        <v>45076</v>
      </c>
      <c r="F23" s="1" t="s">
        <v>150</v>
      </c>
      <c r="G23" s="1">
        <v>11100</v>
      </c>
      <c r="H23" s="1">
        <v>3400</v>
      </c>
      <c r="I23" s="13">
        <v>0.23448275862068965</v>
      </c>
    </row>
    <row r="24" spans="1:9" x14ac:dyDescent="0.35">
      <c r="A24" s="1" t="s">
        <v>24</v>
      </c>
      <c r="B24" s="1" t="s">
        <v>62</v>
      </c>
      <c r="C24" s="1" t="s">
        <v>57</v>
      </c>
      <c r="D24" s="1">
        <v>19320</v>
      </c>
      <c r="E24" s="10">
        <v>45083</v>
      </c>
      <c r="F24" s="1" t="s">
        <v>151</v>
      </c>
      <c r="G24" s="1">
        <v>14800</v>
      </c>
      <c r="H24" s="1">
        <v>4520</v>
      </c>
      <c r="I24" s="13">
        <v>0.23395445134575568</v>
      </c>
    </row>
    <row r="25" spans="1:9" x14ac:dyDescent="0.35">
      <c r="A25" s="1" t="s">
        <v>25</v>
      </c>
      <c r="B25" s="1" t="s">
        <v>63</v>
      </c>
      <c r="C25" s="1" t="s">
        <v>52</v>
      </c>
      <c r="D25" s="1">
        <v>16780</v>
      </c>
      <c r="E25" s="10">
        <v>45090</v>
      </c>
      <c r="F25" s="1" t="s">
        <v>151</v>
      </c>
      <c r="G25" s="1">
        <v>12800</v>
      </c>
      <c r="H25" s="1">
        <v>3980</v>
      </c>
      <c r="I25" s="13">
        <v>0.23718712753277713</v>
      </c>
    </row>
    <row r="26" spans="1:9" x14ac:dyDescent="0.35">
      <c r="A26" s="1" t="s">
        <v>26</v>
      </c>
      <c r="B26" s="1" t="s">
        <v>58</v>
      </c>
      <c r="C26" s="1" t="s">
        <v>53</v>
      </c>
      <c r="D26" s="1">
        <v>21890</v>
      </c>
      <c r="E26" s="10">
        <v>45097</v>
      </c>
      <c r="F26" s="1" t="s">
        <v>151</v>
      </c>
      <c r="G26" s="1">
        <v>16700</v>
      </c>
      <c r="H26" s="1">
        <v>5190</v>
      </c>
      <c r="I26" s="13">
        <v>0.23709456372772955</v>
      </c>
    </row>
    <row r="27" spans="1:9" x14ac:dyDescent="0.35">
      <c r="A27" s="1" t="s">
        <v>27</v>
      </c>
      <c r="B27" s="1" t="s">
        <v>59</v>
      </c>
      <c r="C27" s="1" t="s">
        <v>54</v>
      </c>
      <c r="D27" s="1">
        <v>15640</v>
      </c>
      <c r="E27" s="10">
        <v>45104</v>
      </c>
      <c r="F27" s="1" t="s">
        <v>151</v>
      </c>
      <c r="G27" s="1">
        <v>12000</v>
      </c>
      <c r="H27" s="1">
        <v>3640</v>
      </c>
      <c r="I27" s="13">
        <v>0.23273657289002558</v>
      </c>
    </row>
    <row r="28" spans="1:9" x14ac:dyDescent="0.35">
      <c r="A28" s="1" t="s">
        <v>28</v>
      </c>
      <c r="B28" s="1" t="s">
        <v>60</v>
      </c>
      <c r="C28" s="1" t="s">
        <v>55</v>
      </c>
      <c r="D28" s="1">
        <v>9900</v>
      </c>
      <c r="E28" s="10">
        <v>45111</v>
      </c>
      <c r="F28" s="1" t="s">
        <v>152</v>
      </c>
      <c r="G28" s="1">
        <v>7600</v>
      </c>
      <c r="H28" s="1">
        <v>2300</v>
      </c>
      <c r="I28" s="13">
        <v>0.23232323232323232</v>
      </c>
    </row>
    <row r="29" spans="1:9" x14ac:dyDescent="0.35">
      <c r="A29" s="1" t="s">
        <v>29</v>
      </c>
      <c r="B29" s="1" t="s">
        <v>61</v>
      </c>
      <c r="C29" s="1" t="s">
        <v>56</v>
      </c>
      <c r="D29" s="1">
        <v>18250</v>
      </c>
      <c r="E29" s="10">
        <v>45118</v>
      </c>
      <c r="F29" s="1" t="s">
        <v>152</v>
      </c>
      <c r="G29" s="1">
        <v>13900</v>
      </c>
      <c r="H29" s="1">
        <v>4350</v>
      </c>
      <c r="I29" s="13">
        <v>0.23835616438356164</v>
      </c>
    </row>
    <row r="30" spans="1:9" x14ac:dyDescent="0.35">
      <c r="A30" s="1" t="s">
        <v>30</v>
      </c>
      <c r="B30" s="1" t="s">
        <v>62</v>
      </c>
      <c r="C30" s="1" t="s">
        <v>57</v>
      </c>
      <c r="D30" s="1">
        <v>16990</v>
      </c>
      <c r="E30" s="10">
        <v>45125</v>
      </c>
      <c r="F30" s="1" t="s">
        <v>152</v>
      </c>
      <c r="G30" s="1">
        <v>13000</v>
      </c>
      <c r="H30" s="1">
        <v>3990</v>
      </c>
      <c r="I30" s="13">
        <v>0.23484402589758682</v>
      </c>
    </row>
    <row r="31" spans="1:9" x14ac:dyDescent="0.35">
      <c r="A31" s="1" t="s">
        <v>31</v>
      </c>
      <c r="B31" s="1" t="s">
        <v>63</v>
      </c>
      <c r="C31" s="1" t="s">
        <v>52</v>
      </c>
      <c r="D31" s="1">
        <v>22400</v>
      </c>
      <c r="E31" s="10">
        <v>45132</v>
      </c>
      <c r="F31" s="1" t="s">
        <v>152</v>
      </c>
      <c r="G31" s="1">
        <v>17100</v>
      </c>
      <c r="H31" s="1">
        <v>5300</v>
      </c>
      <c r="I31" s="13">
        <v>0.23660714285714285</v>
      </c>
    </row>
    <row r="32" spans="1:9" x14ac:dyDescent="0.35">
      <c r="A32" s="1" t="s">
        <v>32</v>
      </c>
      <c r="B32" s="1" t="s">
        <v>58</v>
      </c>
      <c r="C32" s="1" t="s">
        <v>53</v>
      </c>
      <c r="D32" s="1">
        <v>13150</v>
      </c>
      <c r="E32" s="10">
        <v>45294</v>
      </c>
      <c r="F32" s="1" t="s">
        <v>153</v>
      </c>
      <c r="G32" s="1">
        <v>10100</v>
      </c>
      <c r="H32" s="1">
        <v>3050</v>
      </c>
      <c r="I32" s="13">
        <v>0.23193916349809887</v>
      </c>
    </row>
    <row r="33" spans="1:9" x14ac:dyDescent="0.35">
      <c r="A33" s="1" t="s">
        <v>33</v>
      </c>
      <c r="B33" s="1" t="s">
        <v>59</v>
      </c>
      <c r="C33" s="1" t="s">
        <v>54</v>
      </c>
      <c r="D33" s="1">
        <v>17680</v>
      </c>
      <c r="E33" s="10">
        <v>45301</v>
      </c>
      <c r="F33" s="1" t="s">
        <v>153</v>
      </c>
      <c r="G33" s="1">
        <v>13500</v>
      </c>
      <c r="H33" s="1">
        <v>4180</v>
      </c>
      <c r="I33" s="13">
        <v>0.23642533936651583</v>
      </c>
    </row>
    <row r="34" spans="1:9" x14ac:dyDescent="0.35">
      <c r="A34" s="1" t="s">
        <v>34</v>
      </c>
      <c r="B34" s="1" t="s">
        <v>60</v>
      </c>
      <c r="C34" s="1" t="s">
        <v>55</v>
      </c>
      <c r="D34" s="1">
        <v>15890</v>
      </c>
      <c r="E34" s="10">
        <v>45308</v>
      </c>
      <c r="F34" s="1" t="s">
        <v>153</v>
      </c>
      <c r="G34" s="1">
        <v>12100</v>
      </c>
      <c r="H34" s="1">
        <v>3790</v>
      </c>
      <c r="I34" s="13">
        <v>0.23851478917558214</v>
      </c>
    </row>
    <row r="35" spans="1:9" x14ac:dyDescent="0.35">
      <c r="A35" s="1" t="s">
        <v>35</v>
      </c>
      <c r="B35" s="1" t="s">
        <v>61</v>
      </c>
      <c r="C35" s="1" t="s">
        <v>56</v>
      </c>
      <c r="D35" s="1">
        <v>19500</v>
      </c>
      <c r="E35" s="10">
        <v>45315</v>
      </c>
      <c r="F35" s="1" t="s">
        <v>153</v>
      </c>
      <c r="G35" s="1">
        <v>14900</v>
      </c>
      <c r="H35" s="1">
        <v>4600</v>
      </c>
      <c r="I35" s="13">
        <v>0.23589743589743589</v>
      </c>
    </row>
    <row r="36" spans="1:9" x14ac:dyDescent="0.35">
      <c r="A36" s="1" t="s">
        <v>36</v>
      </c>
      <c r="B36" s="1" t="s">
        <v>62</v>
      </c>
      <c r="C36" s="1" t="s">
        <v>57</v>
      </c>
      <c r="D36" s="1">
        <v>14200</v>
      </c>
      <c r="E36" s="10">
        <v>45323</v>
      </c>
      <c r="F36" s="1" t="s">
        <v>154</v>
      </c>
      <c r="G36" s="1">
        <v>10900</v>
      </c>
      <c r="H36" s="1">
        <v>3300</v>
      </c>
      <c r="I36" s="13">
        <v>0.23239436619718309</v>
      </c>
    </row>
    <row r="37" spans="1:9" x14ac:dyDescent="0.35">
      <c r="A37" s="1" t="s">
        <v>37</v>
      </c>
      <c r="B37" s="1" t="s">
        <v>63</v>
      </c>
      <c r="C37" s="1" t="s">
        <v>52</v>
      </c>
      <c r="D37" s="1">
        <v>20950</v>
      </c>
      <c r="E37" s="10">
        <v>45330</v>
      </c>
      <c r="F37" s="1" t="s">
        <v>154</v>
      </c>
      <c r="G37" s="1">
        <v>16000</v>
      </c>
      <c r="H37" s="1">
        <v>4950</v>
      </c>
      <c r="I37" s="13">
        <v>0.23627684964200477</v>
      </c>
    </row>
    <row r="38" spans="1:9" x14ac:dyDescent="0.35">
      <c r="A38" s="1" t="s">
        <v>38</v>
      </c>
      <c r="B38" s="1" t="s">
        <v>58</v>
      </c>
      <c r="C38" s="1" t="s">
        <v>53</v>
      </c>
      <c r="D38" s="1">
        <v>11800</v>
      </c>
      <c r="E38" s="10">
        <v>45337</v>
      </c>
      <c r="F38" s="1" t="s">
        <v>154</v>
      </c>
      <c r="G38" s="1">
        <v>9000</v>
      </c>
      <c r="H38" s="1">
        <v>2800</v>
      </c>
      <c r="I38" s="13">
        <v>0.23728813559322035</v>
      </c>
    </row>
    <row r="39" spans="1:9" x14ac:dyDescent="0.35">
      <c r="A39" s="1" t="s">
        <v>39</v>
      </c>
      <c r="B39" s="1" t="s">
        <v>59</v>
      </c>
      <c r="C39" s="1" t="s">
        <v>54</v>
      </c>
      <c r="D39" s="1">
        <v>16430</v>
      </c>
      <c r="E39" s="10">
        <v>45344</v>
      </c>
      <c r="F39" s="1" t="s">
        <v>154</v>
      </c>
      <c r="G39" s="1">
        <v>12500</v>
      </c>
      <c r="H39" s="1">
        <v>3930</v>
      </c>
      <c r="I39" s="13">
        <v>0.23919659160073037</v>
      </c>
    </row>
    <row r="40" spans="1:9" x14ac:dyDescent="0.35">
      <c r="A40" s="1" t="s">
        <v>40</v>
      </c>
      <c r="B40" s="1" t="s">
        <v>60</v>
      </c>
      <c r="C40" s="1" t="s">
        <v>55</v>
      </c>
      <c r="D40" s="1">
        <v>18760</v>
      </c>
      <c r="E40" s="10">
        <v>45352</v>
      </c>
      <c r="F40" s="1" t="s">
        <v>155</v>
      </c>
      <c r="G40" s="1">
        <v>14400</v>
      </c>
      <c r="H40" s="1">
        <v>4360</v>
      </c>
      <c r="I40" s="13">
        <v>0.23240938166311301</v>
      </c>
    </row>
    <row r="41" spans="1:9" x14ac:dyDescent="0.35">
      <c r="A41" s="1" t="s">
        <v>41</v>
      </c>
      <c r="B41" s="1" t="s">
        <v>61</v>
      </c>
      <c r="C41" s="1" t="s">
        <v>56</v>
      </c>
      <c r="D41" s="1">
        <v>15120</v>
      </c>
      <c r="E41" s="10">
        <v>45359</v>
      </c>
      <c r="F41" s="1" t="s">
        <v>155</v>
      </c>
      <c r="G41" s="1">
        <v>11600</v>
      </c>
      <c r="H41" s="1">
        <v>3520</v>
      </c>
      <c r="I41" s="13">
        <v>0.23280423280423279</v>
      </c>
    </row>
    <row r="42" spans="1:9" x14ac:dyDescent="0.35">
      <c r="A42" s="1" t="s">
        <v>42</v>
      </c>
      <c r="B42" s="1" t="s">
        <v>62</v>
      </c>
      <c r="C42" s="1" t="s">
        <v>57</v>
      </c>
      <c r="D42" s="1">
        <v>22900</v>
      </c>
      <c r="E42" s="10">
        <v>45366</v>
      </c>
      <c r="F42" s="1" t="s">
        <v>155</v>
      </c>
      <c r="G42" s="1">
        <v>17500</v>
      </c>
      <c r="H42" s="1">
        <v>5400</v>
      </c>
      <c r="I42" s="13">
        <v>0.23580786026200873</v>
      </c>
    </row>
    <row r="43" spans="1:9" x14ac:dyDescent="0.35">
      <c r="A43" s="1" t="s">
        <v>43</v>
      </c>
      <c r="B43" s="1" t="s">
        <v>63</v>
      </c>
      <c r="C43" s="1" t="s">
        <v>52</v>
      </c>
      <c r="D43" s="1">
        <v>13780</v>
      </c>
      <c r="E43" s="10">
        <v>45373</v>
      </c>
      <c r="F43" s="1" t="s">
        <v>155</v>
      </c>
      <c r="G43" s="1">
        <v>10500</v>
      </c>
      <c r="H43" s="1">
        <v>3280</v>
      </c>
      <c r="I43" s="13">
        <v>0.23802612481857766</v>
      </c>
    </row>
    <row r="44" spans="1:9" x14ac:dyDescent="0.35">
      <c r="A44" s="1" t="s">
        <v>44</v>
      </c>
      <c r="B44" s="1" t="s">
        <v>58</v>
      </c>
      <c r="C44" s="1" t="s">
        <v>53</v>
      </c>
      <c r="D44" s="1">
        <v>17250</v>
      </c>
      <c r="E44" s="10">
        <v>45380</v>
      </c>
      <c r="F44" s="1" t="s">
        <v>155</v>
      </c>
      <c r="G44" s="1">
        <v>13200</v>
      </c>
      <c r="H44" s="1">
        <v>4050</v>
      </c>
      <c r="I44" s="13">
        <v>0.23478260869565218</v>
      </c>
    </row>
    <row r="45" spans="1:9" x14ac:dyDescent="0.35">
      <c r="A45" s="1" t="s">
        <v>45</v>
      </c>
      <c r="B45" s="1" t="s">
        <v>59</v>
      </c>
      <c r="C45" s="1" t="s">
        <v>52</v>
      </c>
      <c r="D45" s="1">
        <v>16040</v>
      </c>
      <c r="E45" s="10">
        <v>45387</v>
      </c>
      <c r="F45" s="1" t="s">
        <v>156</v>
      </c>
      <c r="G45" s="1">
        <v>12300</v>
      </c>
      <c r="H45" s="1">
        <v>3740</v>
      </c>
      <c r="I45" s="13">
        <v>0.23316708229426433</v>
      </c>
    </row>
    <row r="46" spans="1:9" x14ac:dyDescent="0.35">
      <c r="A46" s="1" t="s">
        <v>46</v>
      </c>
      <c r="B46" s="1" t="s">
        <v>61</v>
      </c>
      <c r="C46" s="1" t="s">
        <v>57</v>
      </c>
      <c r="D46" s="1">
        <v>20100</v>
      </c>
      <c r="E46" s="10">
        <v>45394</v>
      </c>
      <c r="F46" s="1" t="s">
        <v>156</v>
      </c>
      <c r="G46" s="1">
        <v>15400</v>
      </c>
      <c r="H46" s="1">
        <v>4700</v>
      </c>
      <c r="I46" s="13">
        <v>0.23383084577114427</v>
      </c>
    </row>
    <row r="47" spans="1:9" x14ac:dyDescent="0.35">
      <c r="A47" s="1" t="s">
        <v>47</v>
      </c>
      <c r="B47" s="1" t="s">
        <v>62</v>
      </c>
      <c r="C47" s="1" t="s">
        <v>53</v>
      </c>
      <c r="D47" s="1">
        <v>18490</v>
      </c>
      <c r="E47" s="10">
        <v>45401</v>
      </c>
      <c r="F47" s="1" t="s">
        <v>156</v>
      </c>
      <c r="G47" s="1">
        <v>14200</v>
      </c>
      <c r="H47" s="1">
        <v>4290</v>
      </c>
      <c r="I47" s="13">
        <v>0.23201730665224446</v>
      </c>
    </row>
    <row r="48" spans="1:9" x14ac:dyDescent="0.35">
      <c r="A48" s="1" t="s">
        <v>48</v>
      </c>
      <c r="B48" s="1" t="s">
        <v>63</v>
      </c>
      <c r="C48" s="1" t="s">
        <v>53</v>
      </c>
      <c r="D48" s="1">
        <v>12600</v>
      </c>
      <c r="E48" s="10">
        <v>45408</v>
      </c>
      <c r="F48" s="1" t="s">
        <v>156</v>
      </c>
      <c r="G48" s="1">
        <v>9700</v>
      </c>
      <c r="H48" s="1">
        <v>2900</v>
      </c>
      <c r="I48" s="13">
        <v>0.23015873015873015</v>
      </c>
    </row>
    <row r="49" spans="1:9" x14ac:dyDescent="0.35">
      <c r="A49" s="1" t="s">
        <v>49</v>
      </c>
      <c r="B49" s="1" t="s">
        <v>58</v>
      </c>
      <c r="C49" s="1" t="s">
        <v>57</v>
      </c>
      <c r="D49" s="1">
        <v>16890</v>
      </c>
      <c r="E49" s="10">
        <v>45415</v>
      </c>
      <c r="F49" s="1" t="s">
        <v>157</v>
      </c>
      <c r="G49" s="1">
        <v>12900</v>
      </c>
      <c r="H49" s="1">
        <v>3990</v>
      </c>
      <c r="I49" s="13">
        <v>0.23623445825932504</v>
      </c>
    </row>
    <row r="50" spans="1:9" x14ac:dyDescent="0.35">
      <c r="A50" s="1" t="s">
        <v>50</v>
      </c>
      <c r="B50" s="1" t="s">
        <v>59</v>
      </c>
      <c r="C50" s="1" t="s">
        <v>53</v>
      </c>
      <c r="D50" s="1">
        <v>19120</v>
      </c>
      <c r="E50" s="10">
        <v>45422</v>
      </c>
      <c r="F50" s="1" t="s">
        <v>157</v>
      </c>
      <c r="G50" s="1">
        <v>14600</v>
      </c>
      <c r="H50" s="1">
        <v>4520</v>
      </c>
      <c r="I50" s="13">
        <v>0.23640167364016737</v>
      </c>
    </row>
    <row r="51" spans="1:9" x14ac:dyDescent="0.35">
      <c r="A51" s="1" t="s">
        <v>51</v>
      </c>
      <c r="B51" s="1" t="s">
        <v>59</v>
      </c>
      <c r="C51" s="1" t="s">
        <v>52</v>
      </c>
      <c r="D51" s="1">
        <v>15500</v>
      </c>
      <c r="E51" s="10">
        <v>45429</v>
      </c>
      <c r="F51" s="1" t="s">
        <v>157</v>
      </c>
      <c r="G51" s="1">
        <v>11900</v>
      </c>
      <c r="H51" s="1">
        <v>3600</v>
      </c>
      <c r="I51" s="13">
        <v>0.23225806451612904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0D5B-67BD-4DE1-BCE9-D441D271279D}">
  <dimension ref="A1:B7"/>
  <sheetViews>
    <sheetView zoomScale="190" zoomScaleNormal="190" workbookViewId="0">
      <selection activeCell="D7" sqref="D7"/>
    </sheetView>
  </sheetViews>
  <sheetFormatPr defaultRowHeight="14.5" x14ac:dyDescent="0.35"/>
  <cols>
    <col min="1" max="1" width="17.58203125" bestFit="1" customWidth="1"/>
  </cols>
  <sheetData>
    <row r="1" spans="1:2" x14ac:dyDescent="0.35">
      <c r="A1" t="s">
        <v>64</v>
      </c>
      <c r="B1" t="s">
        <v>84</v>
      </c>
    </row>
    <row r="2" spans="1:2" x14ac:dyDescent="0.35">
      <c r="A2" t="s">
        <v>72</v>
      </c>
      <c r="B2" t="s">
        <v>73</v>
      </c>
    </row>
    <row r="3" spans="1:2" x14ac:dyDescent="0.35">
      <c r="A3" t="s">
        <v>74</v>
      </c>
      <c r="B3" t="s">
        <v>75</v>
      </c>
    </row>
    <row r="4" spans="1:2" x14ac:dyDescent="0.35">
      <c r="A4" t="s">
        <v>76</v>
      </c>
      <c r="B4" t="s">
        <v>77</v>
      </c>
    </row>
    <row r="5" spans="1:2" x14ac:dyDescent="0.35">
      <c r="A5" t="s">
        <v>78</v>
      </c>
      <c r="B5" t="s">
        <v>79</v>
      </c>
    </row>
    <row r="6" spans="1:2" x14ac:dyDescent="0.35">
      <c r="A6" t="s">
        <v>80</v>
      </c>
      <c r="B6" t="s">
        <v>81</v>
      </c>
    </row>
    <row r="7" spans="1:2" x14ac:dyDescent="0.35">
      <c r="A7" t="s">
        <v>82</v>
      </c>
      <c r="B7" t="s">
        <v>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6E1E6-1F9A-46E0-B6D7-FEBC1890D114}">
  <dimension ref="A1:B51"/>
  <sheetViews>
    <sheetView zoomScale="175" zoomScaleNormal="175" workbookViewId="0">
      <selection activeCell="B10" sqref="B10"/>
    </sheetView>
  </sheetViews>
  <sheetFormatPr defaultRowHeight="14.5" x14ac:dyDescent="0.35"/>
  <cols>
    <col min="1" max="1" width="10.5" customWidth="1"/>
    <col min="2" max="2" width="15.9140625" bestFit="1" customWidth="1"/>
  </cols>
  <sheetData>
    <row r="1" spans="1:2" x14ac:dyDescent="0.35">
      <c r="A1" t="s">
        <v>85</v>
      </c>
      <c r="B1" t="s">
        <v>86</v>
      </c>
    </row>
    <row r="2" spans="1:2" x14ac:dyDescent="0.35">
      <c r="A2" t="s">
        <v>87</v>
      </c>
      <c r="B2" t="s">
        <v>88</v>
      </c>
    </row>
    <row r="3" spans="1:2" x14ac:dyDescent="0.35">
      <c r="A3" t="s">
        <v>89</v>
      </c>
      <c r="B3" t="s">
        <v>90</v>
      </c>
    </row>
    <row r="4" spans="1:2" x14ac:dyDescent="0.35">
      <c r="A4" t="s">
        <v>91</v>
      </c>
      <c r="B4" t="s">
        <v>90</v>
      </c>
    </row>
    <row r="5" spans="1:2" x14ac:dyDescent="0.35">
      <c r="A5" t="s">
        <v>92</v>
      </c>
      <c r="B5" t="s">
        <v>93</v>
      </c>
    </row>
    <row r="6" spans="1:2" x14ac:dyDescent="0.35">
      <c r="A6" t="s">
        <v>94</v>
      </c>
      <c r="B6" t="s">
        <v>95</v>
      </c>
    </row>
    <row r="7" spans="1:2" x14ac:dyDescent="0.35">
      <c r="A7" t="s">
        <v>96</v>
      </c>
      <c r="B7" t="s">
        <v>97</v>
      </c>
    </row>
    <row r="8" spans="1:2" x14ac:dyDescent="0.35">
      <c r="A8" t="s">
        <v>98</v>
      </c>
      <c r="B8" t="s">
        <v>88</v>
      </c>
    </row>
    <row r="9" spans="1:2" x14ac:dyDescent="0.35">
      <c r="A9" t="s">
        <v>99</v>
      </c>
      <c r="B9" t="s">
        <v>90</v>
      </c>
    </row>
    <row r="10" spans="1:2" x14ac:dyDescent="0.35">
      <c r="A10" t="s">
        <v>100</v>
      </c>
      <c r="B10" t="s">
        <v>90</v>
      </c>
    </row>
    <row r="11" spans="1:2" x14ac:dyDescent="0.35">
      <c r="A11" t="s">
        <v>101</v>
      </c>
      <c r="B11" t="s">
        <v>93</v>
      </c>
    </row>
    <row r="12" spans="1:2" x14ac:dyDescent="0.35">
      <c r="A12" t="s">
        <v>102</v>
      </c>
      <c r="B12" t="s">
        <v>95</v>
      </c>
    </row>
    <row r="13" spans="1:2" x14ac:dyDescent="0.35">
      <c r="A13" t="s">
        <v>103</v>
      </c>
      <c r="B13" t="s">
        <v>97</v>
      </c>
    </row>
    <row r="14" spans="1:2" x14ac:dyDescent="0.35">
      <c r="A14" t="s">
        <v>104</v>
      </c>
      <c r="B14" t="s">
        <v>88</v>
      </c>
    </row>
    <row r="15" spans="1:2" x14ac:dyDescent="0.35">
      <c r="A15" t="s">
        <v>105</v>
      </c>
      <c r="B15" t="s">
        <v>90</v>
      </c>
    </row>
    <row r="16" spans="1:2" x14ac:dyDescent="0.35">
      <c r="A16" t="s">
        <v>106</v>
      </c>
      <c r="B16" t="s">
        <v>90</v>
      </c>
    </row>
    <row r="17" spans="1:2" x14ac:dyDescent="0.35">
      <c r="A17" t="s">
        <v>107</v>
      </c>
      <c r="B17" t="s">
        <v>93</v>
      </c>
    </row>
    <row r="18" spans="1:2" x14ac:dyDescent="0.35">
      <c r="A18" t="s">
        <v>108</v>
      </c>
      <c r="B18" t="s">
        <v>95</v>
      </c>
    </row>
    <row r="19" spans="1:2" x14ac:dyDescent="0.35">
      <c r="A19" t="s">
        <v>109</v>
      </c>
      <c r="B19" t="s">
        <v>97</v>
      </c>
    </row>
    <row r="20" spans="1:2" x14ac:dyDescent="0.35">
      <c r="A20" t="s">
        <v>110</v>
      </c>
      <c r="B20" t="s">
        <v>88</v>
      </c>
    </row>
    <row r="21" spans="1:2" x14ac:dyDescent="0.35">
      <c r="A21" t="s">
        <v>111</v>
      </c>
      <c r="B21" t="s">
        <v>90</v>
      </c>
    </row>
    <row r="22" spans="1:2" x14ac:dyDescent="0.35">
      <c r="A22" t="s">
        <v>112</v>
      </c>
      <c r="B22" t="s">
        <v>90</v>
      </c>
    </row>
    <row r="23" spans="1:2" x14ac:dyDescent="0.35">
      <c r="A23" t="s">
        <v>113</v>
      </c>
      <c r="B23" t="s">
        <v>93</v>
      </c>
    </row>
    <row r="24" spans="1:2" x14ac:dyDescent="0.35">
      <c r="A24" t="s">
        <v>114</v>
      </c>
      <c r="B24" t="s">
        <v>95</v>
      </c>
    </row>
    <row r="25" spans="1:2" x14ac:dyDescent="0.35">
      <c r="A25" t="s">
        <v>115</v>
      </c>
      <c r="B25" t="s">
        <v>97</v>
      </c>
    </row>
    <row r="26" spans="1:2" x14ac:dyDescent="0.35">
      <c r="A26" t="s">
        <v>116</v>
      </c>
      <c r="B26" t="s">
        <v>88</v>
      </c>
    </row>
    <row r="27" spans="1:2" x14ac:dyDescent="0.35">
      <c r="A27" t="s">
        <v>117</v>
      </c>
      <c r="B27" t="s">
        <v>90</v>
      </c>
    </row>
    <row r="28" spans="1:2" x14ac:dyDescent="0.35">
      <c r="A28" t="s">
        <v>118</v>
      </c>
      <c r="B28" t="s">
        <v>90</v>
      </c>
    </row>
    <row r="29" spans="1:2" x14ac:dyDescent="0.35">
      <c r="A29" t="s">
        <v>119</v>
      </c>
      <c r="B29" t="s">
        <v>93</v>
      </c>
    </row>
    <row r="30" spans="1:2" x14ac:dyDescent="0.35">
      <c r="A30" t="s">
        <v>120</v>
      </c>
      <c r="B30" t="s">
        <v>95</v>
      </c>
    </row>
    <row r="31" spans="1:2" x14ac:dyDescent="0.35">
      <c r="A31" t="s">
        <v>121</v>
      </c>
      <c r="B31" t="s">
        <v>97</v>
      </c>
    </row>
    <row r="32" spans="1:2" x14ac:dyDescent="0.35">
      <c r="A32" t="s">
        <v>122</v>
      </c>
      <c r="B32" t="s">
        <v>88</v>
      </c>
    </row>
    <row r="33" spans="1:2" x14ac:dyDescent="0.35">
      <c r="A33" t="s">
        <v>123</v>
      </c>
      <c r="B33" t="s">
        <v>90</v>
      </c>
    </row>
    <row r="34" spans="1:2" x14ac:dyDescent="0.35">
      <c r="A34" t="s">
        <v>124</v>
      </c>
      <c r="B34" t="s">
        <v>90</v>
      </c>
    </row>
    <row r="35" spans="1:2" x14ac:dyDescent="0.35">
      <c r="A35" t="s">
        <v>125</v>
      </c>
      <c r="B35" t="s">
        <v>93</v>
      </c>
    </row>
    <row r="36" spans="1:2" x14ac:dyDescent="0.35">
      <c r="A36" t="s">
        <v>126</v>
      </c>
      <c r="B36" t="s">
        <v>95</v>
      </c>
    </row>
    <row r="37" spans="1:2" x14ac:dyDescent="0.35">
      <c r="A37" t="s">
        <v>127</v>
      </c>
      <c r="B37" t="s">
        <v>97</v>
      </c>
    </row>
    <row r="38" spans="1:2" x14ac:dyDescent="0.35">
      <c r="A38" t="s">
        <v>128</v>
      </c>
      <c r="B38" t="s">
        <v>88</v>
      </c>
    </row>
    <row r="39" spans="1:2" x14ac:dyDescent="0.35">
      <c r="A39" t="s">
        <v>129</v>
      </c>
      <c r="B39" t="s">
        <v>90</v>
      </c>
    </row>
    <row r="40" spans="1:2" x14ac:dyDescent="0.35">
      <c r="A40" t="s">
        <v>130</v>
      </c>
      <c r="B40" t="s">
        <v>90</v>
      </c>
    </row>
    <row r="41" spans="1:2" x14ac:dyDescent="0.35">
      <c r="A41" t="s">
        <v>131</v>
      </c>
      <c r="B41" t="s">
        <v>93</v>
      </c>
    </row>
    <row r="42" spans="1:2" x14ac:dyDescent="0.35">
      <c r="A42" t="s">
        <v>132</v>
      </c>
      <c r="B42" t="s">
        <v>95</v>
      </c>
    </row>
    <row r="43" spans="1:2" x14ac:dyDescent="0.35">
      <c r="A43" t="s">
        <v>133</v>
      </c>
      <c r="B43" t="s">
        <v>97</v>
      </c>
    </row>
    <row r="44" spans="1:2" x14ac:dyDescent="0.35">
      <c r="A44" t="s">
        <v>134</v>
      </c>
      <c r="B44" t="s">
        <v>88</v>
      </c>
    </row>
    <row r="45" spans="1:2" x14ac:dyDescent="0.35">
      <c r="A45" t="s">
        <v>135</v>
      </c>
      <c r="B45" t="s">
        <v>90</v>
      </c>
    </row>
    <row r="46" spans="1:2" x14ac:dyDescent="0.35">
      <c r="A46" t="s">
        <v>136</v>
      </c>
      <c r="B46" t="s">
        <v>93</v>
      </c>
    </row>
    <row r="47" spans="1:2" x14ac:dyDescent="0.35">
      <c r="A47" t="s">
        <v>137</v>
      </c>
      <c r="B47" t="s">
        <v>95</v>
      </c>
    </row>
    <row r="48" spans="1:2" x14ac:dyDescent="0.35">
      <c r="A48" t="s">
        <v>138</v>
      </c>
      <c r="B48" t="s">
        <v>97</v>
      </c>
    </row>
    <row r="49" spans="1:2" x14ac:dyDescent="0.35">
      <c r="A49" t="s">
        <v>139</v>
      </c>
      <c r="B49" t="s">
        <v>88</v>
      </c>
    </row>
    <row r="50" spans="1:2" x14ac:dyDescent="0.35">
      <c r="A50" t="s">
        <v>140</v>
      </c>
      <c r="B50" t="s">
        <v>90</v>
      </c>
    </row>
    <row r="51" spans="1:2" x14ac:dyDescent="0.35">
      <c r="A51" t="s">
        <v>141</v>
      </c>
      <c r="B51" t="s">
        <v>90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37FDF-59FD-4AE9-98D9-5880D7EB0A39}">
  <dimension ref="A3:B23"/>
  <sheetViews>
    <sheetView tabSelected="1" zoomScale="85" zoomScaleNormal="85" workbookViewId="0">
      <selection activeCell="C21" sqref="C21"/>
    </sheetView>
  </sheetViews>
  <sheetFormatPr defaultRowHeight="14.5" x14ac:dyDescent="0.35"/>
  <cols>
    <col min="1" max="1" width="12.33203125" bestFit="1" customWidth="1"/>
    <col min="2" max="2" width="13.75" bestFit="1" customWidth="1"/>
  </cols>
  <sheetData>
    <row r="3" spans="1:2" x14ac:dyDescent="0.35">
      <c r="A3" s="2" t="s">
        <v>143</v>
      </c>
      <c r="B3" t="s">
        <v>173</v>
      </c>
    </row>
    <row r="4" spans="1:2" x14ac:dyDescent="0.35">
      <c r="A4" s="3" t="s">
        <v>162</v>
      </c>
      <c r="B4" s="16">
        <v>7.0895483189123034</v>
      </c>
    </row>
    <row r="5" spans="1:2" x14ac:dyDescent="0.35">
      <c r="A5" s="14" t="s">
        <v>163</v>
      </c>
      <c r="B5" s="16">
        <v>3.0792880761045955</v>
      </c>
    </row>
    <row r="6" spans="1:2" x14ac:dyDescent="0.35">
      <c r="A6" s="15" t="s">
        <v>164</v>
      </c>
      <c r="B6" s="16">
        <v>0.93663833298629728</v>
      </c>
    </row>
    <row r="7" spans="1:2" x14ac:dyDescent="0.35">
      <c r="A7" s="15" t="s">
        <v>165</v>
      </c>
      <c r="B7" s="16">
        <v>0.95660019508835414</v>
      </c>
    </row>
    <row r="8" spans="1:2" x14ac:dyDescent="0.35">
      <c r="A8" s="15" t="s">
        <v>166</v>
      </c>
      <c r="B8" s="16">
        <v>1.1860495480299442</v>
      </c>
    </row>
    <row r="9" spans="1:2" x14ac:dyDescent="0.35">
      <c r="A9" s="14" t="s">
        <v>167</v>
      </c>
      <c r="B9" s="16">
        <v>3.0681296773461844</v>
      </c>
    </row>
    <row r="10" spans="1:2" x14ac:dyDescent="0.35">
      <c r="A10" s="15" t="s">
        <v>168</v>
      </c>
      <c r="B10" s="16">
        <v>0.94958750310115669</v>
      </c>
    </row>
    <row r="11" spans="1:2" x14ac:dyDescent="0.35">
      <c r="A11" s="15" t="s">
        <v>144</v>
      </c>
      <c r="B11" s="16">
        <v>1.1775694587487398</v>
      </c>
    </row>
    <row r="12" spans="1:2" x14ac:dyDescent="0.35">
      <c r="A12" s="15" t="s">
        <v>169</v>
      </c>
      <c r="B12" s="16">
        <v>0.94097271549628791</v>
      </c>
    </row>
    <row r="13" spans="1:2" x14ac:dyDescent="0.35">
      <c r="A13" s="14" t="s">
        <v>170</v>
      </c>
      <c r="B13" s="16">
        <v>0.94213056546152352</v>
      </c>
    </row>
    <row r="14" spans="1:2" x14ac:dyDescent="0.35">
      <c r="A14" s="15" t="s">
        <v>171</v>
      </c>
      <c r="B14" s="16">
        <v>0.94213056546152352</v>
      </c>
    </row>
    <row r="15" spans="1:2" x14ac:dyDescent="0.35">
      <c r="A15" s="3" t="s">
        <v>172</v>
      </c>
      <c r="B15" s="16">
        <v>4.6958310405063601</v>
      </c>
    </row>
    <row r="16" spans="1:2" x14ac:dyDescent="0.35">
      <c r="A16" s="14" t="s">
        <v>163</v>
      </c>
      <c r="B16" s="16">
        <v>3.0617628792143554</v>
      </c>
    </row>
    <row r="17" spans="1:2" x14ac:dyDescent="0.35">
      <c r="A17" s="15" t="s">
        <v>164</v>
      </c>
      <c r="B17" s="16">
        <v>0.94277672793763267</v>
      </c>
    </row>
    <row r="18" spans="1:2" x14ac:dyDescent="0.35">
      <c r="A18" s="15" t="s">
        <v>165</v>
      </c>
      <c r="B18" s="16">
        <v>0.94515594303313855</v>
      </c>
    </row>
    <row r="19" spans="1:2" x14ac:dyDescent="0.35">
      <c r="A19" s="15" t="s">
        <v>166</v>
      </c>
      <c r="B19" s="16">
        <v>1.1738302082435843</v>
      </c>
    </row>
    <row r="20" spans="1:2" x14ac:dyDescent="0.35">
      <c r="A20" s="14" t="s">
        <v>167</v>
      </c>
      <c r="B20" s="16">
        <v>1.6340681612920047</v>
      </c>
    </row>
    <row r="21" spans="1:2" x14ac:dyDescent="0.35">
      <c r="A21" s="15" t="s">
        <v>168</v>
      </c>
      <c r="B21" s="16">
        <v>0.92917396487638315</v>
      </c>
    </row>
    <row r="22" spans="1:2" x14ac:dyDescent="0.35">
      <c r="A22" s="15" t="s">
        <v>144</v>
      </c>
      <c r="B22" s="16">
        <v>0.70489419641562145</v>
      </c>
    </row>
    <row r="23" spans="1:2" x14ac:dyDescent="0.35">
      <c r="A23" s="3" t="s">
        <v>145</v>
      </c>
      <c r="B23" s="16">
        <v>11.785379359418664</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24482CFD-CFC7-418C-A2FC-B831B2998810}">
  <ds:schemaRefs>
    <ds:schemaRef ds:uri="http://schemas.microsoft.com/DataMashup"/>
  </ds:schemaRefs>
</ds:datastoreItem>
</file>

<file path=customXml/itemProps2.xml><?xml version="1.0" encoding="utf-8"?>
<ds:datastoreItem xmlns:ds="http://schemas.openxmlformats.org/officeDocument/2006/customXml" ds:itemID="{1DF32F53-A91E-42EA-A928-93E6FD49CE8D}">
  <ds:schemaRefs/>
</ds:datastoreItem>
</file>

<file path=customXml/itemProps3.xml><?xml version="1.0" encoding="utf-8"?>
<ds:datastoreItem xmlns:ds="http://schemas.openxmlformats.org/officeDocument/2006/customXml" ds:itemID="{78CAA1D1-EB07-4ED0-AAB6-D84302CA73DE}">
  <ds:schemaRefs/>
</ds:datastoreItem>
</file>

<file path=customXml/itemProps4.xml><?xml version="1.0" encoding="utf-8"?>
<ds:datastoreItem xmlns:ds="http://schemas.openxmlformats.org/officeDocument/2006/customXml" ds:itemID="{EEC3A760-9297-4334-96C9-2921D5D22D67}">
  <ds:schemaRefs/>
</ds:datastoreItem>
</file>

<file path=customXml/itemProps5.xml><?xml version="1.0" encoding="utf-8"?>
<ds:datastoreItem xmlns:ds="http://schemas.openxmlformats.org/officeDocument/2006/customXml" ds:itemID="{2B38EDAC-0787-4AAD-B14C-9DDB9523BAF1}">
  <ds:schemaRefs/>
</ds:datastoreItem>
</file>

<file path=customXml/itemProps6.xml><?xml version="1.0" encoding="utf-8"?>
<ds:datastoreItem xmlns:ds="http://schemas.openxmlformats.org/officeDocument/2006/customXml" ds:itemID="{EA517EEF-9B26-41EC-933D-6C4EEDF362C1}">
  <ds:schemaRefs/>
</ds:datastoreItem>
</file>

<file path=customXml/itemProps7.xml><?xml version="1.0" encoding="utf-8"?>
<ds:datastoreItem xmlns:ds="http://schemas.openxmlformats.org/officeDocument/2006/customXml" ds:itemID="{71E9EC89-16C7-4100-BF2C-FCABF914EDCF}">
  <ds:schemaRefs/>
</ds:datastoreItem>
</file>

<file path=customXml/itemProps8.xml><?xml version="1.0" encoding="utf-8"?>
<ds:datastoreItem xmlns:ds="http://schemas.openxmlformats.org/officeDocument/2006/customXml" ds:itemID="{A32469BA-C88F-41BD-84B9-597D11F79A51}">
  <ds:schemaRefs/>
</ds:datastoreItem>
</file>

<file path=customXml/itemProps9.xml><?xml version="1.0" encoding="utf-8"?>
<ds:datastoreItem xmlns:ds="http://schemas.openxmlformats.org/officeDocument/2006/customXml" ds:itemID="{AB101F2E-F9F1-4E00-AE6D-9C9CE1840BF6}">
  <ds:schemaRefs/>
</ds:datastoreItem>
</file>

<file path=customXml/itemProps10.xml><?xml version="1.0" encoding="utf-8"?>
<ds:datastoreItem xmlns:ds="http://schemas.openxmlformats.org/officeDocument/2006/customXml" ds:itemID="{D0CBA48A-0F02-4283-B9DC-80607BF4F9F2}">
  <ds:schemaRefs/>
</ds:datastoreItem>
</file>

<file path=customXml/itemProps11.xml><?xml version="1.0" encoding="utf-8"?>
<ds:datastoreItem xmlns:ds="http://schemas.openxmlformats.org/officeDocument/2006/customXml" ds:itemID="{A105DF81-D388-4469-84FF-82B2C77A2250}">
  <ds:schemaRefs/>
</ds:datastoreItem>
</file>

<file path=customXml/itemProps12.xml><?xml version="1.0" encoding="utf-8"?>
<ds:datastoreItem xmlns:ds="http://schemas.openxmlformats.org/officeDocument/2006/customXml" ds:itemID="{A39E9123-C966-4C27-BD96-8738598C9B3B}">
  <ds:schemaRefs/>
</ds:datastoreItem>
</file>

<file path=customXml/itemProps13.xml><?xml version="1.0" encoding="utf-8"?>
<ds:datastoreItem xmlns:ds="http://schemas.openxmlformats.org/officeDocument/2006/customXml" ds:itemID="{BB12F24D-B4A1-4AA3-ACEB-40D6903CEBC9}">
  <ds:schemaRefs/>
</ds:datastoreItem>
</file>

<file path=customXml/itemProps14.xml><?xml version="1.0" encoding="utf-8"?>
<ds:datastoreItem xmlns:ds="http://schemas.openxmlformats.org/officeDocument/2006/customXml" ds:itemID="{F74752AC-0CFD-4DF9-9C5E-AE8940AA2562}">
  <ds:schemaRefs/>
</ds:datastoreItem>
</file>

<file path=customXml/itemProps15.xml><?xml version="1.0" encoding="utf-8"?>
<ds:datastoreItem xmlns:ds="http://schemas.openxmlformats.org/officeDocument/2006/customXml" ds:itemID="{F845413F-D6C1-4A28-B408-6F9518AB618E}">
  <ds:schemaRefs/>
</ds:datastoreItem>
</file>

<file path=customXml/itemProps16.xml><?xml version="1.0" encoding="utf-8"?>
<ds:datastoreItem xmlns:ds="http://schemas.openxmlformats.org/officeDocument/2006/customXml" ds:itemID="{EAE0360A-5100-4677-95EA-0E5DE5C9C49D}">
  <ds:schemaRefs/>
</ds:datastoreItem>
</file>

<file path=customXml/itemProps17.xml><?xml version="1.0" encoding="utf-8"?>
<ds:datastoreItem xmlns:ds="http://schemas.openxmlformats.org/officeDocument/2006/customXml" ds:itemID="{B7CDD7D6-B0B8-4DE9-B144-6CB47F334959}">
  <ds:schemaRefs/>
</ds:datastoreItem>
</file>

<file path=customXml/itemProps18.xml><?xml version="1.0" encoding="utf-8"?>
<ds:datastoreItem xmlns:ds="http://schemas.openxmlformats.org/officeDocument/2006/customXml" ds:itemID="{9DA78602-FAAA-4C0E-A6A2-0A809E6AC52A}">
  <ds:schemaRefs/>
</ds:datastoreItem>
</file>

<file path=customXml/itemProps19.xml><?xml version="1.0" encoding="utf-8"?>
<ds:datastoreItem xmlns:ds="http://schemas.openxmlformats.org/officeDocument/2006/customXml" ds:itemID="{1FA63B35-A140-417A-BEEE-FC8F52A6E95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pivot_tables</vt:lpstr>
      <vt:lpstr>pie chart</vt:lpstr>
      <vt:lpstr>line chart</vt:lpstr>
      <vt:lpstr>sales_table</vt:lpstr>
      <vt:lpstr>region code</vt:lpstr>
      <vt:lpstr>product_catsubcat</vt:lpstr>
      <vt:lpstr>sales_profit_relation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Sagar Neelappa Beedi</dc:creator>
  <cp:lastModifiedBy>3525</cp:lastModifiedBy>
  <dcterms:created xsi:type="dcterms:W3CDTF">2015-06-05T18:17:20Z</dcterms:created>
  <dcterms:modified xsi:type="dcterms:W3CDTF">2025-12-14T10:50:39Z</dcterms:modified>
</cp:coreProperties>
</file>