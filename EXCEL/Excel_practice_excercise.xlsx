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ata-analytics-porfolio\data-analytics-portfolio\EXCEL\"/>
    </mc:Choice>
  </mc:AlternateContent>
  <xr:revisionPtr revIDLastSave="0" documentId="13_ncr:1_{2E48599A-A071-4B13-BC8D-D887068B1687}" xr6:coauthVersionLast="36" xr6:coauthVersionMax="36" xr10:uidLastSave="{00000000-0000-0000-0000-000000000000}"/>
  <bookViews>
    <workbookView xWindow="0" yWindow="0" windowWidth="17953" windowHeight="5554" xr2:uid="{855249E7-DABC-474A-BDC6-CCDC6FE1027A}"/>
  </bookViews>
  <sheets>
    <sheet name="PRODUCTS" sheetId="1" r:id="rId1"/>
    <sheet name="EMPLOYEES" sheetId="2" r:id="rId2"/>
    <sheet name="STUDENTS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1" l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M45" i="1"/>
  <c r="M46" i="1"/>
  <c r="M47" i="1"/>
  <c r="M48" i="1"/>
  <c r="M49" i="1"/>
  <c r="M50" i="1"/>
  <c r="C4" i="3"/>
  <c r="C2" i="3"/>
  <c r="C3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E10" i="2"/>
  <c r="E11" i="2"/>
  <c r="E12" i="2"/>
  <c r="E13" i="2"/>
  <c r="E14" i="2"/>
  <c r="I45" i="1" l="1"/>
  <c r="I46" i="1"/>
  <c r="I47" i="1"/>
  <c r="I48" i="1"/>
  <c r="I49" i="1"/>
  <c r="I50" i="1"/>
  <c r="I51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2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</calcChain>
</file>

<file path=xl/sharedStrings.xml><?xml version="1.0" encoding="utf-8"?>
<sst xmlns="http://schemas.openxmlformats.org/spreadsheetml/2006/main" count="327" uniqueCount="263">
  <si>
    <t>SAL-001</t>
  </si>
  <si>
    <t>SAL-002</t>
  </si>
  <si>
    <t>SAL-003</t>
  </si>
  <si>
    <t>SAL-004</t>
  </si>
  <si>
    <t>SAL-005</t>
  </si>
  <si>
    <t>SAL-006</t>
  </si>
  <si>
    <t>SAL-007</t>
  </si>
  <si>
    <t>SAL-008</t>
  </si>
  <si>
    <t>SAL-009</t>
  </si>
  <si>
    <t>SAL-010</t>
  </si>
  <si>
    <t>SAL-011</t>
  </si>
  <si>
    <t>SAL-012</t>
  </si>
  <si>
    <t>SAL-013</t>
  </si>
  <si>
    <t>SAL-014</t>
  </si>
  <si>
    <t>SAL-015</t>
  </si>
  <si>
    <t>SAL-016</t>
  </si>
  <si>
    <t>SAL-017</t>
  </si>
  <si>
    <t>SAL-018</t>
  </si>
  <si>
    <t>SAL-019</t>
  </si>
  <si>
    <t>SAL-020</t>
  </si>
  <si>
    <t>SAL-021</t>
  </si>
  <si>
    <t>SAL-022</t>
  </si>
  <si>
    <t>SAL-023</t>
  </si>
  <si>
    <t>SAL-024</t>
  </si>
  <si>
    <t>SAL-025</t>
  </si>
  <si>
    <t>SAL-026</t>
  </si>
  <si>
    <t>SAL-027</t>
  </si>
  <si>
    <t>SAL-028</t>
  </si>
  <si>
    <t>SAL-029</t>
  </si>
  <si>
    <t>SAL-030</t>
  </si>
  <si>
    <t>SAL-031</t>
  </si>
  <si>
    <t>SAL-032</t>
  </si>
  <si>
    <t>SAL-033</t>
  </si>
  <si>
    <t>SAL-034</t>
  </si>
  <si>
    <t>SAL-035</t>
  </si>
  <si>
    <t>SAL-036</t>
  </si>
  <si>
    <t>SAL-037</t>
  </si>
  <si>
    <t>SAL-038</t>
  </si>
  <si>
    <t>SAL-039</t>
  </si>
  <si>
    <t>SAL-040</t>
  </si>
  <si>
    <t>SAL-041</t>
  </si>
  <si>
    <t>SAL-042</t>
  </si>
  <si>
    <t>SAL-043</t>
  </si>
  <si>
    <t>SAL-044</t>
  </si>
  <si>
    <t>SAL-045</t>
  </si>
  <si>
    <t>SAL-046</t>
  </si>
  <si>
    <t>SAL-047</t>
  </si>
  <si>
    <t>SAL-048</t>
  </si>
  <si>
    <t>SAL-049</t>
  </si>
  <si>
    <t>SAL-050</t>
  </si>
  <si>
    <t>Sales ID</t>
  </si>
  <si>
    <t>Product Name</t>
  </si>
  <si>
    <t>Laptop Pro 15</t>
  </si>
  <si>
    <t>Laptop Air 13</t>
  </si>
  <si>
    <t>Gaming Laptop X</t>
  </si>
  <si>
    <t>Desktop PC Mini</t>
  </si>
  <si>
    <t>Desktop PC Tower</t>
  </si>
  <si>
    <t>Wireless Mouse</t>
  </si>
  <si>
    <t>Wireless Keyboard</t>
  </si>
  <si>
    <t>Bluetooth Headphones</t>
  </si>
  <si>
    <t>Gaming Headset</t>
  </si>
  <si>
    <t>USB-C Charger 30W</t>
  </si>
  <si>
    <t>USB-C Charger 65W</t>
  </si>
  <si>
    <t>Smartwatch S1</t>
  </si>
  <si>
    <t>Smartwatch Fit Pro</t>
  </si>
  <si>
    <t>Fitness Band Lite</t>
  </si>
  <si>
    <t>Tablet A10</t>
  </si>
  <si>
    <t>Tablet A10 Pro</t>
  </si>
  <si>
    <t>Smartphone M20</t>
  </si>
  <si>
    <t>Smartphone M20 Plus</t>
  </si>
  <si>
    <t>Smartphone Max Ultra</t>
  </si>
  <si>
    <t>Bluetooth Speaker Mini</t>
  </si>
  <si>
    <t>Bluetooth Speaker Boom</t>
  </si>
  <si>
    <t>32-inch LED Monitor</t>
  </si>
  <si>
    <t>27-inch IPS Monitor</t>
  </si>
  <si>
    <t>24-inch Gaming Monitor</t>
  </si>
  <si>
    <t>External Hard Drive 1TB</t>
  </si>
  <si>
    <t>External Hard Drive 2TB</t>
  </si>
  <si>
    <t>SSD Drive 512GB</t>
  </si>
  <si>
    <t>SSD Drive 1TB</t>
  </si>
  <si>
    <t>USB Flash Drive 64GB</t>
  </si>
  <si>
    <t>USB Flash Drive 128GB</t>
  </si>
  <si>
    <t>Wireless Router AC1200</t>
  </si>
  <si>
    <t>Wireless Router AX1800</t>
  </si>
  <si>
    <t>Noise Cancelling Earbuds</t>
  </si>
  <si>
    <t>Portable Projector Mini</t>
  </si>
  <si>
    <t>HD Webcam 1080p</t>
  </si>
  <si>
    <t>4K Webcam Ultra</t>
  </si>
  <si>
    <t>Office Chair Ergo</t>
  </si>
  <si>
    <t>Office Chair Comfort Plus</t>
  </si>
  <si>
    <t>Standing Desk Basic</t>
  </si>
  <si>
    <t>Standing Desk Pro</t>
  </si>
  <si>
    <t>Printer Inkjet X50</t>
  </si>
  <si>
    <t>Printer LaserJet L100</t>
  </si>
  <si>
    <t>Scanner Flatbed S20</t>
  </si>
  <si>
    <t>Multi-function Printer Pro</t>
  </si>
  <si>
    <t>Graphics Tablet Basic</t>
  </si>
  <si>
    <t>Graphics Tablet Pro</t>
  </si>
  <si>
    <t>Portable Power Bank 10,000mAh</t>
  </si>
  <si>
    <t>Portable Power Bank 20,000mAh</t>
  </si>
  <si>
    <t>Wireless Charging Pad</t>
  </si>
  <si>
    <t>Smart Lamp RGB</t>
  </si>
  <si>
    <t>Arjun Mehta</t>
  </si>
  <si>
    <t>Rohan Gupta</t>
  </si>
  <si>
    <t>Sagar Deshmukh</t>
  </si>
  <si>
    <t>Neha Kulkarni</t>
  </si>
  <si>
    <t>Pooja Sharma</t>
  </si>
  <si>
    <t>Kiran Rajput</t>
  </si>
  <si>
    <t>Swati Nair</t>
  </si>
  <si>
    <t>Varun Chatterjee</t>
  </si>
  <si>
    <t>Meera Ramaswamy</t>
  </si>
  <si>
    <t>Sanjay Bhatt</t>
  </si>
  <si>
    <t>Priya Iyer</t>
  </si>
  <si>
    <t>Dev Malhotra</t>
  </si>
  <si>
    <t>Shruti Verma</t>
  </si>
  <si>
    <t>Tanmay Saxena</t>
  </si>
  <si>
    <t>Aditi Menon</t>
  </si>
  <si>
    <t>Naveen Patil</t>
  </si>
  <si>
    <t>DOB</t>
  </si>
  <si>
    <t>Kavya Shetty</t>
  </si>
  <si>
    <t>Siddharth Reddy</t>
  </si>
  <si>
    <t>Rhea Joseph</t>
  </si>
  <si>
    <t>Pranav Bhatia</t>
  </si>
  <si>
    <t>Ananya Paul</t>
  </si>
  <si>
    <t>Keshav Sethi</t>
  </si>
  <si>
    <t>Manasi Kulkarni</t>
  </si>
  <si>
    <t>Harshit Pandey</t>
  </si>
  <si>
    <t>Kriti Jaiswal</t>
  </si>
  <si>
    <t>Ishaan Sharma</t>
  </si>
  <si>
    <t>Taniya Abraham</t>
  </si>
  <si>
    <t>Nikhil Bose</t>
  </si>
  <si>
    <t>Sana Merchant</t>
  </si>
  <si>
    <t>Aditya Rao</t>
  </si>
  <si>
    <t>Shreya D’Souza</t>
  </si>
  <si>
    <t>Tejas Khanna</t>
  </si>
  <si>
    <t>Ritu Chauhan</t>
  </si>
  <si>
    <t>Yashveer Kanojia</t>
  </si>
  <si>
    <t>Neelam Joshi</t>
  </si>
  <si>
    <t>Milan Solanki</t>
  </si>
  <si>
    <t>Pritam Gaikwad</t>
  </si>
  <si>
    <t>Roshni Fernandes</t>
  </si>
  <si>
    <t>Dhruv Bansal</t>
  </si>
  <si>
    <t>Naina Chib</t>
  </si>
  <si>
    <t>Zoya Khan</t>
  </si>
  <si>
    <t>Kabir Qureshi</t>
  </si>
  <si>
    <t>Aradhya Pillai</t>
  </si>
  <si>
    <t>Jayant Khatri</t>
  </si>
  <si>
    <t>Simran Oberoi</t>
  </si>
  <si>
    <t>Rakesh Dutta</t>
  </si>
  <si>
    <t>Leena Madan</t>
  </si>
  <si>
    <t>Pushkar Vaidya</t>
  </si>
  <si>
    <t>Natasha Gokhale</t>
  </si>
  <si>
    <t>Amit Trivedi</t>
  </si>
  <si>
    <t>age</t>
  </si>
  <si>
    <t>arjun.mehta@gmail.com</t>
  </si>
  <si>
    <t>sagar.deshmukh@outlook.com</t>
  </si>
  <si>
    <t>pooja.sharma@yahoo.com</t>
  </si>
  <si>
    <t>swati.nair@gmail.com</t>
  </si>
  <si>
    <t>varun.c@outlook.com</t>
  </si>
  <si>
    <t>sanjay.bhatt@gmail.com</t>
  </si>
  <si>
    <t>dev.malhotra@live.com</t>
  </si>
  <si>
    <t>shruti.verma@gmail.com</t>
  </si>
  <si>
    <t>aditi.menon@outlook.com</t>
  </si>
  <si>
    <t>kavya.shetty@gmail.com</t>
  </si>
  <si>
    <t>rhea.joseph@yahoo.com</t>
  </si>
  <si>
    <t>pranav.bhatia@gmail.com</t>
  </si>
  <si>
    <t>keshav.sethi@outlook.com</t>
  </si>
  <si>
    <t>harshit.pandey@gmail.com</t>
  </si>
  <si>
    <t>ishaan.sharma@icloud.com</t>
  </si>
  <si>
    <t>nikhil.bose@gmail.com</t>
  </si>
  <si>
    <t>aditya.rao@hotmail.com</t>
  </si>
  <si>
    <t>tejas.khanna@outlook.com</t>
  </si>
  <si>
    <t>yashveer.k@gmail.com</t>
  </si>
  <si>
    <t>milan.solanki@yahoo.com</t>
  </si>
  <si>
    <t>roshni.fernandes@gmail.com</t>
  </si>
  <si>
    <t>dhruv.bansal@outlook.com</t>
  </si>
  <si>
    <t>zoya.khan@gmail.com</t>
  </si>
  <si>
    <t>aradhya.pillai@live.com</t>
  </si>
  <si>
    <t>simran.oberoi@gmail.com</t>
  </si>
  <si>
    <t>leena.madan@yahoo.com</t>
  </si>
  <si>
    <t>natasha.gokhale@gmail.com</t>
  </si>
  <si>
    <t>EMAIL ADDRESS</t>
  </si>
  <si>
    <t>EMAIL AVAILABILITY</t>
  </si>
  <si>
    <t>Product Description</t>
  </si>
  <si>
    <t>Laptop Pro 15 – Dell</t>
  </si>
  <si>
    <t>Laptop Air 13 – Apple</t>
  </si>
  <si>
    <t>Gaming Laptop X – Asus</t>
  </si>
  <si>
    <t>Desktop PC Mini – HP</t>
  </si>
  <si>
    <t>Desktop PC Tower – Lenovo</t>
  </si>
  <si>
    <t>Wireless Mouse – Logitech</t>
  </si>
  <si>
    <t>Wireless Keyboard – Logitech</t>
  </si>
  <si>
    <t>Bluetooth Headphones – Sony</t>
  </si>
  <si>
    <t>Gaming Headset – HyperX</t>
  </si>
  <si>
    <t>Smartwatch S1 – Samsung</t>
  </si>
  <si>
    <t>Smartwatch Fit Pro – Fitbit</t>
  </si>
  <si>
    <t>Fitness Band Lite – Xiaomi</t>
  </si>
  <si>
    <t>Tablet A10 – Lenovo</t>
  </si>
  <si>
    <t>Tablet A10 Pro – Samsung</t>
  </si>
  <si>
    <t>Smartphone M20 – Xiaomi</t>
  </si>
  <si>
    <t>Smartphone M20 Plus – Oppo</t>
  </si>
  <si>
    <t>Smartphone Max Ultra – OnePlus</t>
  </si>
  <si>
    <t>Bluetooth Speaker Mini – JBL</t>
  </si>
  <si>
    <t>Bluetooth Speaker Boom – Boat</t>
  </si>
  <si>
    <t>External Hard Drive 1TB – Seagate</t>
  </si>
  <si>
    <t>External Hard Drive 2TB – WD</t>
  </si>
  <si>
    <t>SSD Drive 512GB – Samsung</t>
  </si>
  <si>
    <t>SSD Drive 1TB – Kingston</t>
  </si>
  <si>
    <t>USB Flash Drive 64GB – Sandisk</t>
  </si>
  <si>
    <t>USB Flash Drive 128GB – Sandisk</t>
  </si>
  <si>
    <t>Wireless Router AX1800 – Netgear</t>
  </si>
  <si>
    <t>Noise Cancelling Earbuds – Sony</t>
  </si>
  <si>
    <t>Portable Projector Mini – ViewSonic</t>
  </si>
  <si>
    <t>HD Webcam 1080p – Logitech</t>
  </si>
  <si>
    <t>4K Webcam Ultra – Razer</t>
  </si>
  <si>
    <t>Office Chair Ergo – GreenSoul</t>
  </si>
  <si>
    <t>Office Chair Comfort Plus – DaUrban</t>
  </si>
  <si>
    <t>Standing Desk Basic – FlexiSpot</t>
  </si>
  <si>
    <t>Standing Desk Pro – Ikea</t>
  </si>
  <si>
    <t>Printer Inkjet X50 – Canon</t>
  </si>
  <si>
    <t>Printer LaserJet L100 – HP</t>
  </si>
  <si>
    <t>Scanner Flatbed S20 – Epson</t>
  </si>
  <si>
    <t>Graphics Tablet Basic – Wacom</t>
  </si>
  <si>
    <t>Graphics Tablet Pro – Huion</t>
  </si>
  <si>
    <t>Portable Power Bank 10,000mAh – Mi</t>
  </si>
  <si>
    <t>Portable Power Bank 20,000mAh – Realme</t>
  </si>
  <si>
    <t>Wireless Charging Pad – Belkin</t>
  </si>
  <si>
    <t>Smart Lamp RGB – Philips</t>
  </si>
  <si>
    <t>USB</t>
  </si>
  <si>
    <t>Wireless Router AC1200 – TP</t>
  </si>
  <si>
    <t>Multi</t>
  </si>
  <si>
    <t>Employee Name</t>
  </si>
  <si>
    <t>Salary (₹/month)</t>
  </si>
  <si>
    <r>
      <t xml:space="preserve">0 </t>
    </r>
    <r>
      <rPr>
        <i/>
        <sz val="11"/>
        <color theme="1"/>
        <rFont val="Calibri"/>
        <family val="2"/>
        <scheme val="minor"/>
      </rPr>
      <t>(blank salary)</t>
    </r>
  </si>
  <si>
    <t>CUST FULL NAME</t>
  </si>
  <si>
    <t>PRODUCT BRAND</t>
  </si>
  <si>
    <t>value</t>
  </si>
  <si>
    <t>xlookup output</t>
  </si>
  <si>
    <t>Student Name</t>
  </si>
  <si>
    <t>Total Marks</t>
  </si>
  <si>
    <t>Aarav Sharma</t>
  </si>
  <si>
    <t>Priya Singh</t>
  </si>
  <si>
    <t>Rohan Mehta</t>
  </si>
  <si>
    <t>Sneha Gupta</t>
  </si>
  <si>
    <t>Aditya Verma</t>
  </si>
  <si>
    <t>Kavya Reddy</t>
  </si>
  <si>
    <t>Ankit Kumar</t>
  </si>
  <si>
    <t>Meera Joshi</t>
  </si>
  <si>
    <t>Tanmay Nair</t>
  </si>
  <si>
    <t>Isha Patel</t>
  </si>
  <si>
    <t>Rohit Choudhary</t>
  </si>
  <si>
    <t>Nisha Kapoor</t>
  </si>
  <si>
    <t>Karan Malhotra</t>
  </si>
  <si>
    <t>Simran Kaur</t>
  </si>
  <si>
    <t>Devansh Bhatt</t>
  </si>
  <si>
    <t>Tanya Sharma</t>
  </si>
  <si>
    <t>Arjun Jain</t>
  </si>
  <si>
    <t>Riya Agarwal</t>
  </si>
  <si>
    <t>Varun Desai</t>
  </si>
  <si>
    <t>Pooja Sinha</t>
  </si>
  <si>
    <t>Column1</t>
  </si>
  <si>
    <t>Value</t>
  </si>
  <si>
    <t>index and match function</t>
  </si>
  <si>
    <t>domainname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</si>
</sst>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6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49" fontId="1" fillId="0" borderId="0" xfId="0" applyNumberFormat="1" applyFont="1" applyAlignment="1">
      <alignment horizontal="center" vertical="center" wrapText="1"/>
    </xf>
    <xf numFmtId="49" fontId="0" fillId="0" borderId="0" xfId="0" applyNumberFormat="1"/>
    <xf numFmtId="0" fontId="0" fillId="0" borderId="0" xfId="0" applyAlignment="1">
      <alignment vertical="center"/>
    </xf>
    <xf numFmtId="3" fontId="0" fillId="0" borderId="0" xfId="0" applyNumberFormat="1" applyAlignment="1">
      <alignment vertical="center"/>
    </xf>
    <xf numFmtId="0" fontId="0" fillId="0" borderId="1" xfId="0" applyFont="1" applyBorder="1" applyAlignment="1">
      <alignment vertical="center"/>
    </xf>
    <xf numFmtId="0" fontId="0" fillId="2" borderId="1" xfId="0" applyFont="1" applyFill="1" applyBorder="1" applyAlignment="1">
      <alignment vertical="center"/>
    </xf>
    <xf numFmtId="0" fontId="0" fillId="0" borderId="0" xfId="0" applyAlignment="1"/>
    <xf numFmtId="164" fontId="0" fillId="0" borderId="0" xfId="0" applyNumberFormat="1" applyAlignment="1">
      <alignment vertical="center"/>
    </xf>
    <xf numFmtId="0" fontId="2" fillId="0" borderId="0" xfId="1" applyNumberFormat="1" applyAlignment="1">
      <alignment vertical="center"/>
    </xf>
    <xf numFmtId="0" fontId="0" fillId="0" borderId="0" xfId="0" applyNumberFormat="1" applyAlignment="1"/>
    <xf numFmtId="49" fontId="0" fillId="0" borderId="0" xfId="0" applyNumberFormat="1" applyAlignment="1">
      <alignment vertical="center"/>
    </xf>
    <xf numFmtId="0" fontId="0" fillId="0" borderId="0" xfId="0" applyNumberFormat="1" applyAlignment="1">
      <alignment vertical="center"/>
    </xf>
    <xf numFmtId="0" fontId="1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28">
    <dxf>
      <numFmt numFmtId="0" formatCode="General"/>
      <alignment horizontal="general" textRotation="0" wrapText="0" indent="0" justifyLastLine="0" shrinkToFit="0" readingOrder="0"/>
    </dxf>
    <dxf>
      <numFmt numFmtId="0" formatCode="General"/>
      <alignment horizontal="general" textRotation="0" wrapText="0" indent="0" justifyLastLine="0" shrinkToFit="0" readingOrder="0"/>
    </dxf>
    <dxf>
      <alignment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</border>
    </dxf>
    <dxf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3" formatCode="#,##0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textRotation="0" wrapText="0" indent="0" justifyLastLine="0" shrinkToFit="0" readingOrder="0"/>
    </dxf>
    <dxf>
      <numFmt numFmtId="0" formatCode="General"/>
      <alignment horizontal="general" textRotation="0" wrapText="0" indent="0" justifyLastLine="0" shrinkToFit="0" readingOrder="0"/>
    </dxf>
    <dxf>
      <numFmt numFmtId="30" formatCode="@"/>
      <alignment horizontal="general" textRotation="0" wrapText="0" indent="0" justifyLastLine="0" shrinkToFit="0" readingOrder="0"/>
    </dxf>
    <dxf>
      <numFmt numFmtId="0" formatCode="General"/>
      <alignment horizontal="general" textRotation="0" wrapText="0" indent="0" justifyLastLine="0" shrinkToFit="0" readingOrder="0"/>
    </dxf>
    <dxf>
      <numFmt numFmtId="0" formatCode="General"/>
      <alignment horizontal="general" textRotation="0" wrapText="0" indent="0" justifyLastLine="0" shrinkToFit="0" readingOrder="0"/>
    </dxf>
    <dxf>
      <numFmt numFmtId="0" formatCode="General"/>
      <alignment horizontal="general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textRotation="0" wrapText="0" indent="0" justifyLastLine="0" shrinkToFit="0" readingOrder="0"/>
    </dxf>
    <dxf>
      <alignment horizontal="general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 outline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7546031-0D77-4DD3-902E-60A065C06902}" name="Table1" displayName="Table1" ref="A1:J51" totalsRowShown="0" dataDxfId="10">
  <tableColumns count="10">
    <tableColumn id="3" xr3:uid="{44A71446-07DB-4F9A-B409-93F43C30D028}" name="Sales ID" dataDxfId="19"/>
    <tableColumn id="4" xr3:uid="{8FF86029-C7C9-4EEC-858D-45DAE10E7D23}" name="Product Name" dataDxfId="18"/>
    <tableColumn id="11" xr3:uid="{21EDE502-1C04-4CCB-A209-B0CE5732DAF2}" name="CUST FULL NAME" dataDxfId="17"/>
    <tableColumn id="12" xr3:uid="{9BAE167E-75CA-484D-973A-CB9279246638}" name="DOB" dataDxfId="16"/>
    <tableColumn id="18" xr3:uid="{583FCC20-ACC0-4249-AE88-6D2311A2D361}" name="age" dataDxfId="15"/>
    <tableColumn id="24" xr3:uid="{577F494E-57B5-43E7-BB13-EEDD1B3DFDD0}" name="EMAIL ADDRESS" dataDxfId="14"/>
    <tableColumn id="25" xr3:uid="{019A9B62-7A21-4D4A-A4F8-74490BD7F64D}" name="EMAIL AVAILABILITY" dataDxfId="13">
      <calculatedColumnFormula>ISBLANK(Table1[[#This Row],[EMAIL ADDRESS]])</calculatedColumnFormula>
    </tableColumn>
    <tableColumn id="27" xr3:uid="{02936EE6-736E-48F6-B382-236564EEBD95}" name="Product Description" dataDxfId="12"/>
    <tableColumn id="30" xr3:uid="{DE9E927E-8253-4371-B086-D76EC6B00E63}" name="PRODUCT BRAND" dataDxfId="11">
      <calculatedColumnFormula>TRIM(RIGHT(Table1[[#This Row],[Product Description]],LEN(Table1[[#This Row],[Product Description]])-FIND("–",Table1[[#This Row],[Product Description]])))</calculatedColumnFormula>
    </tableColumn>
    <tableColumn id="1" xr3:uid="{4931415D-4F88-4A30-A284-8CF0DFCAE815}" name="domainname" dataDxfId="0">
      <calculatedColumnFormula>TRIM(RIGHT(Table1[[#This Row],[EMAIL ADDRESS]],LEN(Table1[[#This Row],[EMAIL ADDRESS]])-FIND("@",Table1[[#This Row],[EMAIL ADDRESS]])))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C28B407-D48A-4F57-BEAA-0120A27164C7}" name="Table5" displayName="Table5" ref="L44:M50" totalsRowShown="0" headerRowDxfId="21" dataDxfId="20">
  <autoFilter ref="L44:M50" xr:uid="{ACC73A87-642A-4FAB-8554-32E3EFD47304}"/>
  <tableColumns count="2">
    <tableColumn id="1" xr3:uid="{E3DE8C64-EBCF-4340-A436-F21A5F901A71}" name="Value" dataDxfId="22"/>
    <tableColumn id="2" xr3:uid="{C08220F6-965E-4857-913C-696E76593A42}" name="index and match function" dataDxfId="1">
      <calculatedColumnFormula>INDEX(Table1[Product Name],MATCH(Table5[[#This Row],[Value]],Table1[Sales ID],0))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A69533C-C3F2-462C-8C50-08012D718040}" name="Table2" displayName="Table2" ref="A1:B51" totalsRowShown="0" headerRowDxfId="7" dataDxfId="6">
  <autoFilter ref="A1:B51" xr:uid="{B1DAB445-529D-4BED-9BF3-E7A0A1E406C4}"/>
  <tableColumns count="2">
    <tableColumn id="1" xr3:uid="{5E6A6231-AC6D-416F-B3E4-4602D6273DDE}" name="Employee Name" dataDxfId="9"/>
    <tableColumn id="2" xr3:uid="{263AA5E4-2ED2-4CE6-A0FD-86BD76F83882}" name="Salary (₹/month)" dataDxfId="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ECAE070-EEDD-4261-BCC5-EC78A6866955}" name="Table3" displayName="Table3" ref="D9:E14" totalsRowShown="0" headerRowDxfId="3" dataDxfId="2">
  <autoFilter ref="D9:E14" xr:uid="{DB1D67DE-CDC4-4490-84B1-2B1724B21354}"/>
  <tableColumns count="2">
    <tableColumn id="1" xr3:uid="{65F93F6A-F261-4317-8AF4-CCD0677FB419}" name="value" dataDxfId="5"/>
    <tableColumn id="2" xr3:uid="{AD21A25D-760C-4217-9BC5-9A45BD434535}" name="xlookup output" dataDxfId="4">
      <calculatedColumnFormula>INDEX(Table2[Salary (₹/month)],MATCH(Table3[[#This Row],[value]],Table2[Employee Name],0))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504363D-CAB7-4961-85F0-3A242AF09C40}" name="Table4" displayName="Table4" ref="A1:C21" totalsRowShown="0" headerRowDxfId="24" dataDxfId="25">
  <autoFilter ref="A1:C21" xr:uid="{B6100634-DFDB-40E2-A684-9F0FDA62C978}"/>
  <tableColumns count="3">
    <tableColumn id="1" xr3:uid="{CB667ACA-7CEC-418C-B971-5DBA10EB19D8}" name="Student Name" dataDxfId="27"/>
    <tableColumn id="2" xr3:uid="{3ABB7F55-4F1C-4C6E-B8F3-ECD571D020B6}" name="Total Marks" dataDxfId="26"/>
    <tableColumn id="3" xr3:uid="{3B5FE652-50EA-4CBD-BF53-DF563358C7A3}" name="Column1" dataDxfId="23">
      <calculatedColumnFormula>IF(Table4[[#This Row],[Total Marks]]&gt;90,"execellent",IF(Table4[[#This Row],[Total Marks]]&gt;70,"Good",IF(Table4[[#This Row],[Total Marks]]&gt;60,"average","Poor")))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shruti.verma@gmail.com" TargetMode="External"/><Relationship Id="rId13" Type="http://schemas.openxmlformats.org/officeDocument/2006/relationships/hyperlink" Target="mailto:keshav.sethi@outlook.com" TargetMode="External"/><Relationship Id="rId18" Type="http://schemas.openxmlformats.org/officeDocument/2006/relationships/hyperlink" Target="mailto:tejas.khanna@outlook.com" TargetMode="External"/><Relationship Id="rId26" Type="http://schemas.openxmlformats.org/officeDocument/2006/relationships/hyperlink" Target="mailto:leena.madan@yahoo.com" TargetMode="External"/><Relationship Id="rId3" Type="http://schemas.openxmlformats.org/officeDocument/2006/relationships/hyperlink" Target="mailto:pooja.sharma@yahoo.com" TargetMode="External"/><Relationship Id="rId21" Type="http://schemas.openxmlformats.org/officeDocument/2006/relationships/hyperlink" Target="mailto:roshni.fernandes@gmail.com" TargetMode="External"/><Relationship Id="rId7" Type="http://schemas.openxmlformats.org/officeDocument/2006/relationships/hyperlink" Target="mailto:dev.malhotra@live.com" TargetMode="External"/><Relationship Id="rId12" Type="http://schemas.openxmlformats.org/officeDocument/2006/relationships/hyperlink" Target="mailto:pranav.bhatia@gmail.com" TargetMode="External"/><Relationship Id="rId17" Type="http://schemas.openxmlformats.org/officeDocument/2006/relationships/hyperlink" Target="mailto:aditya.rao@hotmail.com" TargetMode="External"/><Relationship Id="rId25" Type="http://schemas.openxmlformats.org/officeDocument/2006/relationships/hyperlink" Target="mailto:simran.oberoi@gmail.com" TargetMode="External"/><Relationship Id="rId2" Type="http://schemas.openxmlformats.org/officeDocument/2006/relationships/hyperlink" Target="mailto:sagar.deshmukh@outlook.com" TargetMode="External"/><Relationship Id="rId16" Type="http://schemas.openxmlformats.org/officeDocument/2006/relationships/hyperlink" Target="mailto:nikhil.bose@gmail.com" TargetMode="External"/><Relationship Id="rId20" Type="http://schemas.openxmlformats.org/officeDocument/2006/relationships/hyperlink" Target="mailto:milan.solanki@yahoo.com" TargetMode="External"/><Relationship Id="rId29" Type="http://schemas.openxmlformats.org/officeDocument/2006/relationships/table" Target="../tables/table1.xml"/><Relationship Id="rId1" Type="http://schemas.openxmlformats.org/officeDocument/2006/relationships/hyperlink" Target="mailto:arjun.mehta@gmail.com" TargetMode="External"/><Relationship Id="rId6" Type="http://schemas.openxmlformats.org/officeDocument/2006/relationships/hyperlink" Target="mailto:sanjay.bhatt@gmail.com" TargetMode="External"/><Relationship Id="rId11" Type="http://schemas.openxmlformats.org/officeDocument/2006/relationships/hyperlink" Target="mailto:rhea.joseph@yahoo.com" TargetMode="External"/><Relationship Id="rId24" Type="http://schemas.openxmlformats.org/officeDocument/2006/relationships/hyperlink" Target="mailto:aradhya.pillai@live.com" TargetMode="External"/><Relationship Id="rId5" Type="http://schemas.openxmlformats.org/officeDocument/2006/relationships/hyperlink" Target="mailto:varun.c@outlook.com" TargetMode="External"/><Relationship Id="rId15" Type="http://schemas.openxmlformats.org/officeDocument/2006/relationships/hyperlink" Target="mailto:ishaan.sharma@icloud.com" TargetMode="External"/><Relationship Id="rId23" Type="http://schemas.openxmlformats.org/officeDocument/2006/relationships/hyperlink" Target="mailto:zoya.khan@gmail.com" TargetMode="External"/><Relationship Id="rId28" Type="http://schemas.openxmlformats.org/officeDocument/2006/relationships/printerSettings" Target="../printerSettings/printerSettings1.bin"/><Relationship Id="rId10" Type="http://schemas.openxmlformats.org/officeDocument/2006/relationships/hyperlink" Target="mailto:kavya.shetty@gmail.com" TargetMode="External"/><Relationship Id="rId19" Type="http://schemas.openxmlformats.org/officeDocument/2006/relationships/hyperlink" Target="mailto:yashveer.k@gmail.com" TargetMode="External"/><Relationship Id="rId4" Type="http://schemas.openxmlformats.org/officeDocument/2006/relationships/hyperlink" Target="mailto:swati.nair@gmail.com" TargetMode="External"/><Relationship Id="rId9" Type="http://schemas.openxmlformats.org/officeDocument/2006/relationships/hyperlink" Target="mailto:aditi.menon@outlook.com" TargetMode="External"/><Relationship Id="rId14" Type="http://schemas.openxmlformats.org/officeDocument/2006/relationships/hyperlink" Target="mailto:harshit.pandey@gmail.com" TargetMode="External"/><Relationship Id="rId22" Type="http://schemas.openxmlformats.org/officeDocument/2006/relationships/hyperlink" Target="mailto:dhruv.bansal@outlook.com" TargetMode="External"/><Relationship Id="rId27" Type="http://schemas.openxmlformats.org/officeDocument/2006/relationships/hyperlink" Target="mailto:natasha.gokhale@gmail.com" TargetMode="External"/><Relationship Id="rId30" Type="http://schemas.openxmlformats.org/officeDocument/2006/relationships/table" Target="../tables/table2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8E3ED-4735-46E5-A90B-91402C28B320}">
  <dimension ref="A1:M51"/>
  <sheetViews>
    <sheetView tabSelected="1" topLeftCell="E19" zoomScale="145" zoomScaleNormal="145" workbookViewId="0">
      <selection activeCell="J52" sqref="J52"/>
    </sheetView>
  </sheetViews>
  <sheetFormatPr defaultRowHeight="14.5" x14ac:dyDescent="0.35"/>
  <cols>
    <col min="1" max="1" width="11.5" bestFit="1" customWidth="1"/>
    <col min="2" max="2" width="27.25" bestFit="1" customWidth="1"/>
    <col min="3" max="3" width="16.4140625" bestFit="1" customWidth="1"/>
    <col min="4" max="4" width="16.6640625" bestFit="1" customWidth="1"/>
    <col min="5" max="5" width="5.83203125" bestFit="1" customWidth="1"/>
    <col min="6" max="6" width="26.6640625" bestFit="1" customWidth="1"/>
    <col min="7" max="7" width="20" bestFit="1" customWidth="1"/>
    <col min="8" max="8" width="14.6640625" style="4" bestFit="1" customWidth="1"/>
    <col min="9" max="9" width="15.58203125" bestFit="1" customWidth="1"/>
    <col min="12" max="12" width="7.4140625" customWidth="1"/>
    <col min="13" max="13" width="23.83203125" customWidth="1"/>
  </cols>
  <sheetData>
    <row r="1" spans="1:10" ht="29" customHeight="1" x14ac:dyDescent="0.35">
      <c r="A1" s="1" t="s">
        <v>50</v>
      </c>
      <c r="B1" s="1" t="s">
        <v>51</v>
      </c>
      <c r="C1" s="1" t="s">
        <v>233</v>
      </c>
      <c r="D1" s="1" t="s">
        <v>118</v>
      </c>
      <c r="E1" t="s">
        <v>153</v>
      </c>
      <c r="F1" t="s">
        <v>181</v>
      </c>
      <c r="G1" t="s">
        <v>182</v>
      </c>
      <c r="H1" s="3" t="s">
        <v>183</v>
      </c>
      <c r="I1" t="s">
        <v>234</v>
      </c>
      <c r="J1" t="s">
        <v>262</v>
      </c>
    </row>
    <row r="2" spans="1:10" x14ac:dyDescent="0.35">
      <c r="A2" s="5" t="s">
        <v>0</v>
      </c>
      <c r="B2" s="5" t="s">
        <v>52</v>
      </c>
      <c r="C2" s="5" t="s">
        <v>102</v>
      </c>
      <c r="D2" s="10">
        <v>34040</v>
      </c>
      <c r="E2" s="9">
        <v>32</v>
      </c>
      <c r="F2" s="11" t="s">
        <v>154</v>
      </c>
      <c r="G2" s="12" t="b">
        <f>ISBLANK(Table1[[#This Row],[EMAIL ADDRESS]])</f>
        <v>0</v>
      </c>
      <c r="H2" s="13" t="s">
        <v>184</v>
      </c>
      <c r="I2" s="12" t="str">
        <f>TRIM(RIGHT(Table1[[#This Row],[Product Description]],LEN(Table1[[#This Row],[Product Description]])-FIND("–",Table1[[#This Row],[Product Description]])))</f>
        <v>Dell</v>
      </c>
      <c r="J2" s="12" t="str">
        <f>TRIM(RIGHT(Table1[[#This Row],[EMAIL ADDRESS]],LEN(Table1[[#This Row],[EMAIL ADDRESS]])-FIND("@",Table1[[#This Row],[EMAIL ADDRESS]])))</f>
        <v>gmail.com</v>
      </c>
    </row>
    <row r="3" spans="1:10" x14ac:dyDescent="0.35">
      <c r="A3" s="5" t="s">
        <v>1</v>
      </c>
      <c r="B3" s="5" t="s">
        <v>53</v>
      </c>
      <c r="C3" s="5" t="s">
        <v>103</v>
      </c>
      <c r="D3" s="10">
        <v>35028</v>
      </c>
      <c r="E3" s="9">
        <v>30</v>
      </c>
      <c r="F3" s="14"/>
      <c r="G3" s="12" t="b">
        <f>ISBLANK(Table1[[#This Row],[EMAIL ADDRESS]])</f>
        <v>1</v>
      </c>
      <c r="H3" s="13" t="s">
        <v>185</v>
      </c>
      <c r="I3" s="12" t="str">
        <f>TRIM(RIGHT(Table1[[#This Row],[Product Description]],LEN(Table1[[#This Row],[Product Description]])-FIND("–",Table1[[#This Row],[Product Description]])))</f>
        <v>Apple</v>
      </c>
      <c r="J3" s="12" t="e">
        <f>TRIM(RIGHT(Table1[[#This Row],[EMAIL ADDRESS]],LEN(Table1[[#This Row],[EMAIL ADDRESS]])-FIND("@",Table1[[#This Row],[EMAIL ADDRESS]])))</f>
        <v>#VALUE!</v>
      </c>
    </row>
    <row r="4" spans="1:10" x14ac:dyDescent="0.35">
      <c r="A4" s="5" t="s">
        <v>2</v>
      </c>
      <c r="B4" s="5" t="s">
        <v>54</v>
      </c>
      <c r="C4" s="5" t="s">
        <v>104</v>
      </c>
      <c r="D4" s="10">
        <v>34493</v>
      </c>
      <c r="E4" s="9">
        <v>31</v>
      </c>
      <c r="F4" s="11" t="s">
        <v>155</v>
      </c>
      <c r="G4" s="12" t="b">
        <f>ISBLANK(Table1[[#This Row],[EMAIL ADDRESS]])</f>
        <v>0</v>
      </c>
      <c r="H4" s="13" t="s">
        <v>186</v>
      </c>
      <c r="I4" s="12" t="str">
        <f>TRIM(RIGHT(Table1[[#This Row],[Product Description]],LEN(Table1[[#This Row],[Product Description]])-FIND("–",Table1[[#This Row],[Product Description]])))</f>
        <v>Asus</v>
      </c>
      <c r="J4" s="12" t="str">
        <f>TRIM(RIGHT(Table1[[#This Row],[EMAIL ADDRESS]],LEN(Table1[[#This Row],[EMAIL ADDRESS]])-FIND("@",Table1[[#This Row],[EMAIL ADDRESS]])))</f>
        <v>outlook.com</v>
      </c>
    </row>
    <row r="5" spans="1:10" x14ac:dyDescent="0.35">
      <c r="A5" s="5" t="s">
        <v>3</v>
      </c>
      <c r="B5" s="5" t="s">
        <v>55</v>
      </c>
      <c r="C5" s="5" t="s">
        <v>105</v>
      </c>
      <c r="D5" s="10">
        <v>35325</v>
      </c>
      <c r="E5" s="9">
        <v>29</v>
      </c>
      <c r="F5" s="14"/>
      <c r="G5" s="12" t="b">
        <f>ISBLANK(Table1[[#This Row],[EMAIL ADDRESS]])</f>
        <v>1</v>
      </c>
      <c r="H5" s="13" t="s">
        <v>187</v>
      </c>
      <c r="I5" s="12" t="str">
        <f>TRIM(RIGHT(Table1[[#This Row],[Product Description]],LEN(Table1[[#This Row],[Product Description]])-FIND("–",Table1[[#This Row],[Product Description]])))</f>
        <v>HP</v>
      </c>
      <c r="J5" s="12" t="e">
        <f>TRIM(RIGHT(Table1[[#This Row],[EMAIL ADDRESS]],LEN(Table1[[#This Row],[EMAIL ADDRESS]])-FIND("@",Table1[[#This Row],[EMAIL ADDRESS]])))</f>
        <v>#VALUE!</v>
      </c>
    </row>
    <row r="6" spans="1:10" x14ac:dyDescent="0.35">
      <c r="A6" s="5" t="s">
        <v>4</v>
      </c>
      <c r="B6" s="5" t="s">
        <v>56</v>
      </c>
      <c r="C6" s="5" t="s">
        <v>106</v>
      </c>
      <c r="D6" s="10">
        <v>33606</v>
      </c>
      <c r="E6" s="9">
        <v>33</v>
      </c>
      <c r="F6" s="11" t="s">
        <v>156</v>
      </c>
      <c r="G6" s="12" t="b">
        <f>ISBLANK(Table1[[#This Row],[EMAIL ADDRESS]])</f>
        <v>0</v>
      </c>
      <c r="H6" s="13" t="s">
        <v>188</v>
      </c>
      <c r="I6" s="12" t="str">
        <f>TRIM(RIGHT(Table1[[#This Row],[Product Description]],LEN(Table1[[#This Row],[Product Description]])-FIND("–",Table1[[#This Row],[Product Description]])))</f>
        <v>Lenovo</v>
      </c>
      <c r="J6" s="12" t="str">
        <f>TRIM(RIGHT(Table1[[#This Row],[EMAIL ADDRESS]],LEN(Table1[[#This Row],[EMAIL ADDRESS]])-FIND("@",Table1[[#This Row],[EMAIL ADDRESS]])))</f>
        <v>yahoo.com</v>
      </c>
    </row>
    <row r="7" spans="1:10" x14ac:dyDescent="0.35">
      <c r="A7" s="5" t="s">
        <v>5</v>
      </c>
      <c r="B7" s="5" t="s">
        <v>57</v>
      </c>
      <c r="C7" s="5" t="s">
        <v>107</v>
      </c>
      <c r="D7" s="10">
        <v>33448</v>
      </c>
      <c r="E7" s="9">
        <v>34</v>
      </c>
      <c r="F7" s="14"/>
      <c r="G7" s="12" t="b">
        <f>ISBLANK(Table1[[#This Row],[EMAIL ADDRESS]])</f>
        <v>1</v>
      </c>
      <c r="H7" s="13" t="s">
        <v>189</v>
      </c>
      <c r="I7" s="12" t="str">
        <f>TRIM(RIGHT(Table1[[#This Row],[Product Description]],LEN(Table1[[#This Row],[Product Description]])-FIND("–",Table1[[#This Row],[Product Description]])))</f>
        <v>Logitech</v>
      </c>
      <c r="J7" s="12" t="e">
        <f>TRIM(RIGHT(Table1[[#This Row],[EMAIL ADDRESS]],LEN(Table1[[#This Row],[EMAIL ADDRESS]])-FIND("@",Table1[[#This Row],[EMAIL ADDRESS]])))</f>
        <v>#VALUE!</v>
      </c>
    </row>
    <row r="8" spans="1:10" x14ac:dyDescent="0.35">
      <c r="A8" s="5" t="s">
        <v>6</v>
      </c>
      <c r="B8" s="5" t="s">
        <v>58</v>
      </c>
      <c r="C8" s="5" t="s">
        <v>108</v>
      </c>
      <c r="D8" s="10">
        <v>34379</v>
      </c>
      <c r="E8" s="9">
        <v>31</v>
      </c>
      <c r="F8" s="11" t="s">
        <v>157</v>
      </c>
      <c r="G8" s="12" t="b">
        <f>ISBLANK(Table1[[#This Row],[EMAIL ADDRESS]])</f>
        <v>0</v>
      </c>
      <c r="H8" s="13" t="s">
        <v>190</v>
      </c>
      <c r="I8" s="12" t="str">
        <f>TRIM(RIGHT(Table1[[#This Row],[Product Description]],LEN(Table1[[#This Row],[Product Description]])-FIND("–",Table1[[#This Row],[Product Description]])))</f>
        <v>Logitech</v>
      </c>
      <c r="J8" s="12" t="str">
        <f>TRIM(RIGHT(Table1[[#This Row],[EMAIL ADDRESS]],LEN(Table1[[#This Row],[EMAIL ADDRESS]])-FIND("@",Table1[[#This Row],[EMAIL ADDRESS]])))</f>
        <v>gmail.com</v>
      </c>
    </row>
    <row r="9" spans="1:10" x14ac:dyDescent="0.35">
      <c r="A9" s="5" t="s">
        <v>7</v>
      </c>
      <c r="B9" s="5" t="s">
        <v>59</v>
      </c>
      <c r="C9" s="5" t="s">
        <v>109</v>
      </c>
      <c r="D9" s="10">
        <v>33228</v>
      </c>
      <c r="E9" s="9">
        <v>35</v>
      </c>
      <c r="F9" s="11" t="s">
        <v>158</v>
      </c>
      <c r="G9" s="12" t="b">
        <f>ISBLANK(Table1[[#This Row],[EMAIL ADDRESS]])</f>
        <v>0</v>
      </c>
      <c r="H9" s="13" t="s">
        <v>191</v>
      </c>
      <c r="I9" s="12" t="str">
        <f>TRIM(RIGHT(Table1[[#This Row],[Product Description]],LEN(Table1[[#This Row],[Product Description]])-FIND("–",Table1[[#This Row],[Product Description]])))</f>
        <v>Sony</v>
      </c>
      <c r="J9" s="12" t="str">
        <f>TRIM(RIGHT(Table1[[#This Row],[EMAIL ADDRESS]],LEN(Table1[[#This Row],[EMAIL ADDRESS]])-FIND("@",Table1[[#This Row],[EMAIL ADDRESS]])))</f>
        <v>outlook.com</v>
      </c>
    </row>
    <row r="10" spans="1:10" x14ac:dyDescent="0.35">
      <c r="A10" s="5" t="s">
        <v>8</v>
      </c>
      <c r="B10" s="5" t="s">
        <v>60</v>
      </c>
      <c r="C10" s="5" t="s">
        <v>110</v>
      </c>
      <c r="D10" s="10">
        <v>34099</v>
      </c>
      <c r="E10" s="9">
        <v>32</v>
      </c>
      <c r="F10" s="14"/>
      <c r="G10" s="12" t="b">
        <f>ISBLANK(Table1[[#This Row],[EMAIL ADDRESS]])</f>
        <v>1</v>
      </c>
      <c r="H10" s="13" t="s">
        <v>192</v>
      </c>
      <c r="I10" s="12" t="str">
        <f>TRIM(RIGHT(Table1[[#This Row],[Product Description]],LEN(Table1[[#This Row],[Product Description]])-FIND("–",Table1[[#This Row],[Product Description]])))</f>
        <v>HyperX</v>
      </c>
      <c r="J10" s="12" t="e">
        <f>TRIM(RIGHT(Table1[[#This Row],[EMAIL ADDRESS]],LEN(Table1[[#This Row],[EMAIL ADDRESS]])-FIND("@",Table1[[#This Row],[EMAIL ADDRESS]])))</f>
        <v>#VALUE!</v>
      </c>
    </row>
    <row r="11" spans="1:10" x14ac:dyDescent="0.35">
      <c r="A11" s="5" t="s">
        <v>9</v>
      </c>
      <c r="B11" s="5" t="s">
        <v>61</v>
      </c>
      <c r="C11" s="5" t="s">
        <v>111</v>
      </c>
      <c r="D11" s="10">
        <v>33881</v>
      </c>
      <c r="E11" s="9">
        <v>33</v>
      </c>
      <c r="F11" s="11" t="s">
        <v>159</v>
      </c>
      <c r="G11" s="12" t="b">
        <f>ISBLANK(Table1[[#This Row],[EMAIL ADDRESS]])</f>
        <v>0</v>
      </c>
      <c r="H11" s="13" t="s">
        <v>227</v>
      </c>
      <c r="I11" s="12" t="e">
        <f>TRIM(RIGHT(Table1[[#This Row],[Product Description]],LEN(Table1[[#This Row],[Product Description]])-FIND("–",Table1[[#This Row],[Product Description]])))</f>
        <v>#VALUE!</v>
      </c>
      <c r="J11" s="12" t="str">
        <f>TRIM(RIGHT(Table1[[#This Row],[EMAIL ADDRESS]],LEN(Table1[[#This Row],[EMAIL ADDRESS]])-FIND("@",Table1[[#This Row],[EMAIL ADDRESS]])))</f>
        <v>gmail.com</v>
      </c>
    </row>
    <row r="12" spans="1:10" x14ac:dyDescent="0.35">
      <c r="A12" s="5" t="s">
        <v>10</v>
      </c>
      <c r="B12" s="5" t="s">
        <v>62</v>
      </c>
      <c r="C12" s="5" t="s">
        <v>112</v>
      </c>
      <c r="D12" s="10">
        <v>35668</v>
      </c>
      <c r="E12" s="9">
        <v>28</v>
      </c>
      <c r="F12" s="14"/>
      <c r="G12" s="12" t="b">
        <f>ISBLANK(Table1[[#This Row],[EMAIL ADDRESS]])</f>
        <v>1</v>
      </c>
      <c r="H12" s="13" t="s">
        <v>227</v>
      </c>
      <c r="I12" s="12" t="e">
        <f>TRIM(RIGHT(Table1[[#This Row],[Product Description]],LEN(Table1[[#This Row],[Product Description]])-FIND("–",Table1[[#This Row],[Product Description]])))</f>
        <v>#VALUE!</v>
      </c>
      <c r="J12" s="12" t="e">
        <f>TRIM(RIGHT(Table1[[#This Row],[EMAIL ADDRESS]],LEN(Table1[[#This Row],[EMAIL ADDRESS]])-FIND("@",Table1[[#This Row],[EMAIL ADDRESS]])))</f>
        <v>#VALUE!</v>
      </c>
    </row>
    <row r="13" spans="1:10" x14ac:dyDescent="0.35">
      <c r="A13" s="5" t="s">
        <v>11</v>
      </c>
      <c r="B13" s="5" t="s">
        <v>63</v>
      </c>
      <c r="C13" s="5" t="s">
        <v>113</v>
      </c>
      <c r="D13" s="10">
        <v>33312</v>
      </c>
      <c r="E13" s="9">
        <v>34</v>
      </c>
      <c r="F13" s="11" t="s">
        <v>160</v>
      </c>
      <c r="G13" s="12" t="b">
        <f>ISBLANK(Table1[[#This Row],[EMAIL ADDRESS]])</f>
        <v>0</v>
      </c>
      <c r="H13" s="13" t="s">
        <v>193</v>
      </c>
      <c r="I13" s="12" t="str">
        <f>TRIM(RIGHT(Table1[[#This Row],[Product Description]],LEN(Table1[[#This Row],[Product Description]])-FIND("–",Table1[[#This Row],[Product Description]])))</f>
        <v>Samsung</v>
      </c>
      <c r="J13" s="12" t="str">
        <f>TRIM(RIGHT(Table1[[#This Row],[EMAIL ADDRESS]],LEN(Table1[[#This Row],[EMAIL ADDRESS]])-FIND("@",Table1[[#This Row],[EMAIL ADDRESS]])))</f>
        <v>live.com</v>
      </c>
    </row>
    <row r="14" spans="1:10" x14ac:dyDescent="0.35">
      <c r="A14" s="5" t="s">
        <v>12</v>
      </c>
      <c r="B14" s="5" t="s">
        <v>64</v>
      </c>
      <c r="C14" s="5" t="s">
        <v>114</v>
      </c>
      <c r="D14" s="10">
        <v>34515</v>
      </c>
      <c r="E14" s="9">
        <v>31</v>
      </c>
      <c r="F14" s="11" t="s">
        <v>161</v>
      </c>
      <c r="G14" s="12" t="b">
        <f>ISBLANK(Table1[[#This Row],[EMAIL ADDRESS]])</f>
        <v>0</v>
      </c>
      <c r="H14" s="13" t="s">
        <v>194</v>
      </c>
      <c r="I14" s="12" t="str">
        <f>TRIM(RIGHT(Table1[[#This Row],[Product Description]],LEN(Table1[[#This Row],[Product Description]])-FIND("–",Table1[[#This Row],[Product Description]])))</f>
        <v>Fitbit</v>
      </c>
      <c r="J14" s="12" t="str">
        <f>TRIM(RIGHT(Table1[[#This Row],[EMAIL ADDRESS]],LEN(Table1[[#This Row],[EMAIL ADDRESS]])-FIND("@",Table1[[#This Row],[EMAIL ADDRESS]])))</f>
        <v>gmail.com</v>
      </c>
    </row>
    <row r="15" spans="1:10" x14ac:dyDescent="0.35">
      <c r="A15" s="5" t="s">
        <v>13</v>
      </c>
      <c r="B15" s="5" t="s">
        <v>65</v>
      </c>
      <c r="C15" s="5" t="s">
        <v>115</v>
      </c>
      <c r="D15" s="10">
        <v>34902</v>
      </c>
      <c r="E15" s="9">
        <v>30</v>
      </c>
      <c r="F15" s="14"/>
      <c r="G15" s="12" t="b">
        <f>ISBLANK(Table1[[#This Row],[EMAIL ADDRESS]])</f>
        <v>1</v>
      </c>
      <c r="H15" s="13" t="s">
        <v>195</v>
      </c>
      <c r="I15" s="12" t="str">
        <f>TRIM(RIGHT(Table1[[#This Row],[Product Description]],LEN(Table1[[#This Row],[Product Description]])-FIND("–",Table1[[#This Row],[Product Description]])))</f>
        <v>Xiaomi</v>
      </c>
      <c r="J15" s="12" t="e">
        <f>TRIM(RIGHT(Table1[[#This Row],[EMAIL ADDRESS]],LEN(Table1[[#This Row],[EMAIL ADDRESS]])-FIND("@",Table1[[#This Row],[EMAIL ADDRESS]])))</f>
        <v>#VALUE!</v>
      </c>
    </row>
    <row r="16" spans="1:10" x14ac:dyDescent="0.35">
      <c r="A16" s="5" t="s">
        <v>14</v>
      </c>
      <c r="B16" s="5" t="s">
        <v>66</v>
      </c>
      <c r="C16" s="5" t="s">
        <v>116</v>
      </c>
      <c r="D16" s="10">
        <v>35317</v>
      </c>
      <c r="E16" s="9">
        <v>29</v>
      </c>
      <c r="F16" s="11" t="s">
        <v>162</v>
      </c>
      <c r="G16" s="12" t="b">
        <f>ISBLANK(Table1[[#This Row],[EMAIL ADDRESS]])</f>
        <v>0</v>
      </c>
      <c r="H16" s="13" t="s">
        <v>196</v>
      </c>
      <c r="I16" s="12" t="str">
        <f>TRIM(RIGHT(Table1[[#This Row],[Product Description]],LEN(Table1[[#This Row],[Product Description]])-FIND("–",Table1[[#This Row],[Product Description]])))</f>
        <v>Lenovo</v>
      </c>
      <c r="J16" s="12" t="str">
        <f>TRIM(RIGHT(Table1[[#This Row],[EMAIL ADDRESS]],LEN(Table1[[#This Row],[EMAIL ADDRESS]])-FIND("@",Table1[[#This Row],[EMAIL ADDRESS]])))</f>
        <v>outlook.com</v>
      </c>
    </row>
    <row r="17" spans="1:10" x14ac:dyDescent="0.35">
      <c r="A17" s="5" t="s">
        <v>15</v>
      </c>
      <c r="B17" s="5" t="s">
        <v>67</v>
      </c>
      <c r="C17" s="5" t="s">
        <v>117</v>
      </c>
      <c r="D17" s="10">
        <v>34070</v>
      </c>
      <c r="E17" s="9">
        <v>32</v>
      </c>
      <c r="F17" s="14"/>
      <c r="G17" s="12" t="b">
        <f>ISBLANK(Table1[[#This Row],[EMAIL ADDRESS]])</f>
        <v>1</v>
      </c>
      <c r="H17" s="13" t="s">
        <v>197</v>
      </c>
      <c r="I17" s="12" t="str">
        <f>TRIM(RIGHT(Table1[[#This Row],[Product Description]],LEN(Table1[[#This Row],[Product Description]])-FIND("–",Table1[[#This Row],[Product Description]])))</f>
        <v>Samsung</v>
      </c>
      <c r="J17" s="12" t="e">
        <f>TRIM(RIGHT(Table1[[#This Row],[EMAIL ADDRESS]],LEN(Table1[[#This Row],[EMAIL ADDRESS]])-FIND("@",Table1[[#This Row],[EMAIL ADDRESS]])))</f>
        <v>#VALUE!</v>
      </c>
    </row>
    <row r="18" spans="1:10" x14ac:dyDescent="0.35">
      <c r="A18" s="5" t="s">
        <v>16</v>
      </c>
      <c r="B18" s="5" t="s">
        <v>68</v>
      </c>
      <c r="C18" s="5" t="s">
        <v>119</v>
      </c>
      <c r="D18" s="10">
        <v>34717</v>
      </c>
      <c r="E18" s="9">
        <v>30</v>
      </c>
      <c r="F18" s="11" t="s">
        <v>163</v>
      </c>
      <c r="G18" s="12" t="b">
        <f>ISBLANK(Table1[[#This Row],[EMAIL ADDRESS]])</f>
        <v>0</v>
      </c>
      <c r="H18" s="13" t="s">
        <v>198</v>
      </c>
      <c r="I18" s="12" t="str">
        <f>TRIM(RIGHT(Table1[[#This Row],[Product Description]],LEN(Table1[[#This Row],[Product Description]])-FIND("–",Table1[[#This Row],[Product Description]])))</f>
        <v>Xiaomi</v>
      </c>
      <c r="J18" s="12" t="str">
        <f>TRIM(RIGHT(Table1[[#This Row],[EMAIL ADDRESS]],LEN(Table1[[#This Row],[EMAIL ADDRESS]])-FIND("@",Table1[[#This Row],[EMAIL ADDRESS]])))</f>
        <v>gmail.com</v>
      </c>
    </row>
    <row r="19" spans="1:10" x14ac:dyDescent="0.35">
      <c r="A19" s="5" t="s">
        <v>17</v>
      </c>
      <c r="B19" s="5" t="s">
        <v>69</v>
      </c>
      <c r="C19" s="5" t="s">
        <v>120</v>
      </c>
      <c r="D19" s="10">
        <v>33910</v>
      </c>
      <c r="E19" s="9">
        <v>33</v>
      </c>
      <c r="F19" s="14"/>
      <c r="G19" s="12" t="b">
        <f>ISBLANK(Table1[[#This Row],[EMAIL ADDRESS]])</f>
        <v>1</v>
      </c>
      <c r="H19" s="13" t="s">
        <v>199</v>
      </c>
      <c r="I19" s="12" t="str">
        <f>TRIM(RIGHT(Table1[[#This Row],[Product Description]],LEN(Table1[[#This Row],[Product Description]])-FIND("–",Table1[[#This Row],[Product Description]])))</f>
        <v>Oppo</v>
      </c>
      <c r="J19" s="12" t="e">
        <f>TRIM(RIGHT(Table1[[#This Row],[EMAIL ADDRESS]],LEN(Table1[[#This Row],[EMAIL ADDRESS]])-FIND("@",Table1[[#This Row],[EMAIL ADDRESS]])))</f>
        <v>#VALUE!</v>
      </c>
    </row>
    <row r="20" spans="1:10" x14ac:dyDescent="0.35">
      <c r="A20" s="5" t="s">
        <v>18</v>
      </c>
      <c r="B20" s="5" t="s">
        <v>70</v>
      </c>
      <c r="C20" s="5" t="s">
        <v>121</v>
      </c>
      <c r="D20" s="10">
        <v>34371</v>
      </c>
      <c r="E20" s="9">
        <v>31</v>
      </c>
      <c r="F20" s="11" t="s">
        <v>164</v>
      </c>
      <c r="G20" s="12" t="b">
        <f>ISBLANK(Table1[[#This Row],[EMAIL ADDRESS]])</f>
        <v>0</v>
      </c>
      <c r="H20" s="13" t="s">
        <v>200</v>
      </c>
      <c r="I20" s="12" t="str">
        <f>TRIM(RIGHT(Table1[[#This Row],[Product Description]],LEN(Table1[[#This Row],[Product Description]])-FIND("–",Table1[[#This Row],[Product Description]])))</f>
        <v>OnePlus</v>
      </c>
      <c r="J20" s="12" t="str">
        <f>TRIM(RIGHT(Table1[[#This Row],[EMAIL ADDRESS]],LEN(Table1[[#This Row],[EMAIL ADDRESS]])-FIND("@",Table1[[#This Row],[EMAIL ADDRESS]])))</f>
        <v>yahoo.com</v>
      </c>
    </row>
    <row r="21" spans="1:10" x14ac:dyDescent="0.35">
      <c r="A21" s="5" t="s">
        <v>19</v>
      </c>
      <c r="B21" s="5" t="s">
        <v>71</v>
      </c>
      <c r="C21" s="5" t="s">
        <v>122</v>
      </c>
      <c r="D21" s="10">
        <v>34174</v>
      </c>
      <c r="E21" s="9">
        <v>32</v>
      </c>
      <c r="F21" s="11" t="s">
        <v>165</v>
      </c>
      <c r="G21" s="12" t="b">
        <f>ISBLANK(Table1[[#This Row],[EMAIL ADDRESS]])</f>
        <v>0</v>
      </c>
      <c r="H21" s="13" t="s">
        <v>201</v>
      </c>
      <c r="I21" s="12" t="str">
        <f>TRIM(RIGHT(Table1[[#This Row],[Product Description]],LEN(Table1[[#This Row],[Product Description]])-FIND("–",Table1[[#This Row],[Product Description]])))</f>
        <v>JBL</v>
      </c>
      <c r="J21" s="12" t="str">
        <f>TRIM(RIGHT(Table1[[#This Row],[EMAIL ADDRESS]],LEN(Table1[[#This Row],[EMAIL ADDRESS]])-FIND("@",Table1[[#This Row],[EMAIL ADDRESS]])))</f>
        <v>gmail.com</v>
      </c>
    </row>
    <row r="22" spans="1:10" x14ac:dyDescent="0.35">
      <c r="A22" s="5" t="s">
        <v>20</v>
      </c>
      <c r="B22" s="5" t="s">
        <v>72</v>
      </c>
      <c r="C22" s="5" t="s">
        <v>123</v>
      </c>
      <c r="D22" s="10">
        <v>35517</v>
      </c>
      <c r="E22" s="9">
        <v>28</v>
      </c>
      <c r="F22" s="14"/>
      <c r="G22" s="12" t="b">
        <f>ISBLANK(Table1[[#This Row],[EMAIL ADDRESS]])</f>
        <v>1</v>
      </c>
      <c r="H22" s="13" t="s">
        <v>202</v>
      </c>
      <c r="I22" s="12" t="str">
        <f>TRIM(RIGHT(Table1[[#This Row],[Product Description]],LEN(Table1[[#This Row],[Product Description]])-FIND("–",Table1[[#This Row],[Product Description]])))</f>
        <v>Boat</v>
      </c>
      <c r="J22" s="12" t="e">
        <f>TRIM(RIGHT(Table1[[#This Row],[EMAIL ADDRESS]],LEN(Table1[[#This Row],[EMAIL ADDRESS]])-FIND("@",Table1[[#This Row],[EMAIL ADDRESS]])))</f>
        <v>#VALUE!</v>
      </c>
    </row>
    <row r="23" spans="1:10" x14ac:dyDescent="0.35">
      <c r="A23" s="5" t="s">
        <v>21</v>
      </c>
      <c r="B23" s="5" t="s">
        <v>73</v>
      </c>
      <c r="C23" s="5" t="s">
        <v>124</v>
      </c>
      <c r="D23" s="10">
        <v>33524</v>
      </c>
      <c r="E23" s="9">
        <v>34</v>
      </c>
      <c r="F23" s="11" t="s">
        <v>166</v>
      </c>
      <c r="G23" s="12" t="b">
        <f>ISBLANK(Table1[[#This Row],[EMAIL ADDRESS]])</f>
        <v>0</v>
      </c>
      <c r="H23" s="13">
        <v>32</v>
      </c>
      <c r="I23" s="12" t="e">
        <f>TRIM(RIGHT(Table1[[#This Row],[Product Description]],LEN(Table1[[#This Row],[Product Description]])-FIND("–",Table1[[#This Row],[Product Description]])))</f>
        <v>#VALUE!</v>
      </c>
      <c r="J23" s="12" t="str">
        <f>TRIM(RIGHT(Table1[[#This Row],[EMAIL ADDRESS]],LEN(Table1[[#This Row],[EMAIL ADDRESS]])-FIND("@",Table1[[#This Row],[EMAIL ADDRESS]])))</f>
        <v>outlook.com</v>
      </c>
    </row>
    <row r="24" spans="1:10" x14ac:dyDescent="0.35">
      <c r="A24" s="5" t="s">
        <v>22</v>
      </c>
      <c r="B24" s="5" t="s">
        <v>74</v>
      </c>
      <c r="C24" s="5" t="s">
        <v>125</v>
      </c>
      <c r="D24" s="10">
        <v>35204</v>
      </c>
      <c r="E24" s="9">
        <v>29</v>
      </c>
      <c r="F24" s="14"/>
      <c r="G24" s="12" t="b">
        <f>ISBLANK(Table1[[#This Row],[EMAIL ADDRESS]])</f>
        <v>1</v>
      </c>
      <c r="H24" s="13">
        <v>27</v>
      </c>
      <c r="I24" s="12" t="e">
        <f>TRIM(RIGHT(Table1[[#This Row],[Product Description]],LEN(Table1[[#This Row],[Product Description]])-FIND("–",Table1[[#This Row],[Product Description]])))</f>
        <v>#VALUE!</v>
      </c>
      <c r="J24" s="12" t="e">
        <f>TRIM(RIGHT(Table1[[#This Row],[EMAIL ADDRESS]],LEN(Table1[[#This Row],[EMAIL ADDRESS]])-FIND("@",Table1[[#This Row],[EMAIL ADDRESS]])))</f>
        <v>#VALUE!</v>
      </c>
    </row>
    <row r="25" spans="1:10" x14ac:dyDescent="0.35">
      <c r="A25" s="5" t="s">
        <v>23</v>
      </c>
      <c r="B25" s="5" t="s">
        <v>75</v>
      </c>
      <c r="C25" s="5" t="s">
        <v>126</v>
      </c>
      <c r="D25" s="10">
        <v>34669</v>
      </c>
      <c r="E25" s="9">
        <v>31</v>
      </c>
      <c r="F25" s="11" t="s">
        <v>167</v>
      </c>
      <c r="G25" s="12" t="b">
        <f>ISBLANK(Table1[[#This Row],[EMAIL ADDRESS]])</f>
        <v>0</v>
      </c>
      <c r="H25" s="13">
        <v>24</v>
      </c>
      <c r="I25" s="12" t="e">
        <f>TRIM(RIGHT(Table1[[#This Row],[Product Description]],LEN(Table1[[#This Row],[Product Description]])-FIND("–",Table1[[#This Row],[Product Description]])))</f>
        <v>#VALUE!</v>
      </c>
      <c r="J25" s="12" t="str">
        <f>TRIM(RIGHT(Table1[[#This Row],[EMAIL ADDRESS]],LEN(Table1[[#This Row],[EMAIL ADDRESS]])-FIND("@",Table1[[#This Row],[EMAIL ADDRESS]])))</f>
        <v>gmail.com</v>
      </c>
    </row>
    <row r="26" spans="1:10" x14ac:dyDescent="0.35">
      <c r="A26" s="5" t="s">
        <v>24</v>
      </c>
      <c r="B26" s="5" t="s">
        <v>76</v>
      </c>
      <c r="C26" s="5" t="s">
        <v>127</v>
      </c>
      <c r="D26" s="10">
        <v>33823</v>
      </c>
      <c r="E26" s="9">
        <v>33</v>
      </c>
      <c r="F26" s="14"/>
      <c r="G26" s="12" t="b">
        <f>ISBLANK(Table1[[#This Row],[EMAIL ADDRESS]])</f>
        <v>1</v>
      </c>
      <c r="H26" s="13" t="s">
        <v>203</v>
      </c>
      <c r="I26" s="12" t="str">
        <f>TRIM(RIGHT(Table1[[#This Row],[Product Description]],LEN(Table1[[#This Row],[Product Description]])-FIND("–",Table1[[#This Row],[Product Description]])))</f>
        <v>Seagate</v>
      </c>
      <c r="J26" s="12" t="e">
        <f>TRIM(RIGHT(Table1[[#This Row],[EMAIL ADDRESS]],LEN(Table1[[#This Row],[EMAIL ADDRESS]])-FIND("@",Table1[[#This Row],[EMAIL ADDRESS]])))</f>
        <v>#VALUE!</v>
      </c>
    </row>
    <row r="27" spans="1:10" x14ac:dyDescent="0.35">
      <c r="A27" s="5" t="s">
        <v>25</v>
      </c>
      <c r="B27" s="5" t="s">
        <v>77</v>
      </c>
      <c r="C27" s="5" t="s">
        <v>128</v>
      </c>
      <c r="D27" s="10">
        <v>34293</v>
      </c>
      <c r="E27" s="9">
        <v>32</v>
      </c>
      <c r="F27" s="11" t="s">
        <v>168</v>
      </c>
      <c r="G27" s="12" t="b">
        <f>ISBLANK(Table1[[#This Row],[EMAIL ADDRESS]])</f>
        <v>0</v>
      </c>
      <c r="H27" s="13" t="s">
        <v>204</v>
      </c>
      <c r="I27" s="12" t="str">
        <f>TRIM(RIGHT(Table1[[#This Row],[Product Description]],LEN(Table1[[#This Row],[Product Description]])-FIND("–",Table1[[#This Row],[Product Description]])))</f>
        <v>WD</v>
      </c>
      <c r="J27" s="12" t="str">
        <f>TRIM(RIGHT(Table1[[#This Row],[EMAIL ADDRESS]],LEN(Table1[[#This Row],[EMAIL ADDRESS]])-FIND("@",Table1[[#This Row],[EMAIL ADDRESS]])))</f>
        <v>icloud.com</v>
      </c>
    </row>
    <row r="28" spans="1:10" x14ac:dyDescent="0.35">
      <c r="A28" s="5" t="s">
        <v>26</v>
      </c>
      <c r="B28" s="5" t="s">
        <v>78</v>
      </c>
      <c r="C28" s="5" t="s">
        <v>129</v>
      </c>
      <c r="D28" s="10">
        <v>34805</v>
      </c>
      <c r="E28" s="9">
        <v>30</v>
      </c>
      <c r="F28" s="14"/>
      <c r="G28" s="12" t="b">
        <f>ISBLANK(Table1[[#This Row],[EMAIL ADDRESS]])</f>
        <v>1</v>
      </c>
      <c r="H28" s="13" t="s">
        <v>205</v>
      </c>
      <c r="I28" s="12" t="str">
        <f>TRIM(RIGHT(Table1[[#This Row],[Product Description]],LEN(Table1[[#This Row],[Product Description]])-FIND("–",Table1[[#This Row],[Product Description]])))</f>
        <v>Samsung</v>
      </c>
      <c r="J28" s="12" t="e">
        <f>TRIM(RIGHT(Table1[[#This Row],[EMAIL ADDRESS]],LEN(Table1[[#This Row],[EMAIL ADDRESS]])-FIND("@",Table1[[#This Row],[EMAIL ADDRESS]])))</f>
        <v>#VALUE!</v>
      </c>
    </row>
    <row r="29" spans="1:10" x14ac:dyDescent="0.35">
      <c r="A29" s="5" t="s">
        <v>27</v>
      </c>
      <c r="B29" s="5" t="s">
        <v>79</v>
      </c>
      <c r="C29" s="5" t="s">
        <v>130</v>
      </c>
      <c r="D29" s="10">
        <v>35118</v>
      </c>
      <c r="E29" s="9">
        <v>29</v>
      </c>
      <c r="F29" s="11" t="s">
        <v>169</v>
      </c>
      <c r="G29" s="12" t="b">
        <f>ISBLANK(Table1[[#This Row],[EMAIL ADDRESS]])</f>
        <v>0</v>
      </c>
      <c r="H29" s="13" t="s">
        <v>206</v>
      </c>
      <c r="I29" s="12" t="str">
        <f>TRIM(RIGHT(Table1[[#This Row],[Product Description]],LEN(Table1[[#This Row],[Product Description]])-FIND("–",Table1[[#This Row],[Product Description]])))</f>
        <v>Kingston</v>
      </c>
      <c r="J29" s="12" t="str">
        <f>TRIM(RIGHT(Table1[[#This Row],[EMAIL ADDRESS]],LEN(Table1[[#This Row],[EMAIL ADDRESS]])-FIND("@",Table1[[#This Row],[EMAIL ADDRESS]])))</f>
        <v>gmail.com</v>
      </c>
    </row>
    <row r="30" spans="1:10" x14ac:dyDescent="0.35">
      <c r="A30" s="5" t="s">
        <v>28</v>
      </c>
      <c r="B30" s="5" t="s">
        <v>80</v>
      </c>
      <c r="C30" s="5" t="s">
        <v>131</v>
      </c>
      <c r="D30" s="10">
        <v>33424</v>
      </c>
      <c r="E30" s="9">
        <v>34</v>
      </c>
      <c r="F30" s="14"/>
      <c r="G30" s="12" t="b">
        <f>ISBLANK(Table1[[#This Row],[EMAIL ADDRESS]])</f>
        <v>1</v>
      </c>
      <c r="H30" s="13" t="s">
        <v>207</v>
      </c>
      <c r="I30" s="12" t="str">
        <f>TRIM(RIGHT(Table1[[#This Row],[Product Description]],LEN(Table1[[#This Row],[Product Description]])-FIND("–",Table1[[#This Row],[Product Description]])))</f>
        <v>Sandisk</v>
      </c>
      <c r="J30" s="12" t="e">
        <f>TRIM(RIGHT(Table1[[#This Row],[EMAIL ADDRESS]],LEN(Table1[[#This Row],[EMAIL ADDRESS]])-FIND("@",Table1[[#This Row],[EMAIL ADDRESS]])))</f>
        <v>#VALUE!</v>
      </c>
    </row>
    <row r="31" spans="1:10" x14ac:dyDescent="0.35">
      <c r="A31" s="5" t="s">
        <v>29</v>
      </c>
      <c r="B31" s="5" t="s">
        <v>81</v>
      </c>
      <c r="C31" s="5" t="s">
        <v>132</v>
      </c>
      <c r="D31" s="10">
        <v>35562</v>
      </c>
      <c r="E31" s="9">
        <v>28</v>
      </c>
      <c r="F31" s="11" t="s">
        <v>170</v>
      </c>
      <c r="G31" s="12" t="b">
        <f>ISBLANK(Table1[[#This Row],[EMAIL ADDRESS]])</f>
        <v>0</v>
      </c>
      <c r="H31" s="13" t="s">
        <v>208</v>
      </c>
      <c r="I31" s="12" t="str">
        <f>TRIM(RIGHT(Table1[[#This Row],[Product Description]],LEN(Table1[[#This Row],[Product Description]])-FIND("–",Table1[[#This Row],[Product Description]])))</f>
        <v>Sandisk</v>
      </c>
      <c r="J31" s="12" t="str">
        <f>TRIM(RIGHT(Table1[[#This Row],[EMAIL ADDRESS]],LEN(Table1[[#This Row],[EMAIL ADDRESS]])-FIND("@",Table1[[#This Row],[EMAIL ADDRESS]])))</f>
        <v>hotmail.com</v>
      </c>
    </row>
    <row r="32" spans="1:10" x14ac:dyDescent="0.35">
      <c r="A32" s="5" t="s">
        <v>30</v>
      </c>
      <c r="B32" s="5" t="s">
        <v>82</v>
      </c>
      <c r="C32" s="5" t="s">
        <v>133</v>
      </c>
      <c r="D32" s="10">
        <v>34502</v>
      </c>
      <c r="E32" s="9">
        <v>31</v>
      </c>
      <c r="F32" s="14"/>
      <c r="G32" s="12" t="b">
        <f>ISBLANK(Table1[[#This Row],[EMAIL ADDRESS]])</f>
        <v>1</v>
      </c>
      <c r="H32" s="13" t="s">
        <v>228</v>
      </c>
      <c r="I32" s="12" t="str">
        <f>TRIM(RIGHT(Table1[[#This Row],[Product Description]],LEN(Table1[[#This Row],[Product Description]])-FIND("–",Table1[[#This Row],[Product Description]])))</f>
        <v>TP</v>
      </c>
      <c r="J32" s="12" t="e">
        <f>TRIM(RIGHT(Table1[[#This Row],[EMAIL ADDRESS]],LEN(Table1[[#This Row],[EMAIL ADDRESS]])-FIND("@",Table1[[#This Row],[EMAIL ADDRESS]])))</f>
        <v>#VALUE!</v>
      </c>
    </row>
    <row r="33" spans="1:13" x14ac:dyDescent="0.35">
      <c r="A33" s="5" t="s">
        <v>31</v>
      </c>
      <c r="B33" s="5" t="s">
        <v>83</v>
      </c>
      <c r="C33" s="5" t="s">
        <v>134</v>
      </c>
      <c r="D33" s="10">
        <v>33980</v>
      </c>
      <c r="E33" s="9">
        <v>32</v>
      </c>
      <c r="F33" s="11" t="s">
        <v>171</v>
      </c>
      <c r="G33" s="12" t="b">
        <f>ISBLANK(Table1[[#This Row],[EMAIL ADDRESS]])</f>
        <v>0</v>
      </c>
      <c r="H33" s="13" t="s">
        <v>209</v>
      </c>
      <c r="I33" s="12" t="str">
        <f>TRIM(RIGHT(Table1[[#This Row],[Product Description]],LEN(Table1[[#This Row],[Product Description]])-FIND("–",Table1[[#This Row],[Product Description]])))</f>
        <v>Netgear</v>
      </c>
      <c r="J33" s="12" t="str">
        <f>TRIM(RIGHT(Table1[[#This Row],[EMAIL ADDRESS]],LEN(Table1[[#This Row],[EMAIL ADDRESS]])-FIND("@",Table1[[#This Row],[EMAIL ADDRESS]])))</f>
        <v>outlook.com</v>
      </c>
    </row>
    <row r="34" spans="1:13" x14ac:dyDescent="0.35">
      <c r="A34" s="5" t="s">
        <v>32</v>
      </c>
      <c r="B34" s="5" t="s">
        <v>84</v>
      </c>
      <c r="C34" s="5" t="s">
        <v>135</v>
      </c>
      <c r="D34" s="10">
        <v>33672</v>
      </c>
      <c r="E34" s="9">
        <v>33</v>
      </c>
      <c r="F34" s="14"/>
      <c r="G34" s="12" t="b">
        <f>ISBLANK(Table1[[#This Row],[EMAIL ADDRESS]])</f>
        <v>1</v>
      </c>
      <c r="H34" s="13" t="s">
        <v>210</v>
      </c>
      <c r="I34" s="12" t="str">
        <f>TRIM(RIGHT(Table1[[#This Row],[Product Description]],LEN(Table1[[#This Row],[Product Description]])-FIND("–",Table1[[#This Row],[Product Description]])))</f>
        <v>Sony</v>
      </c>
      <c r="J34" s="12" t="e">
        <f>TRIM(RIGHT(Table1[[#This Row],[EMAIL ADDRESS]],LEN(Table1[[#This Row],[EMAIL ADDRESS]])-FIND("@",Table1[[#This Row],[EMAIL ADDRESS]])))</f>
        <v>#VALUE!</v>
      </c>
    </row>
    <row r="35" spans="1:13" x14ac:dyDescent="0.35">
      <c r="A35" s="5" t="s">
        <v>33</v>
      </c>
      <c r="B35" s="5" t="s">
        <v>85</v>
      </c>
      <c r="C35" s="5" t="s">
        <v>136</v>
      </c>
      <c r="D35" s="10">
        <v>35304</v>
      </c>
      <c r="E35" s="9">
        <v>29</v>
      </c>
      <c r="F35" s="11" t="s">
        <v>172</v>
      </c>
      <c r="G35" s="12" t="b">
        <f>ISBLANK(Table1[[#This Row],[EMAIL ADDRESS]])</f>
        <v>0</v>
      </c>
      <c r="H35" s="13" t="s">
        <v>211</v>
      </c>
      <c r="I35" s="12" t="str">
        <f>TRIM(RIGHT(Table1[[#This Row],[Product Description]],LEN(Table1[[#This Row],[Product Description]])-FIND("–",Table1[[#This Row],[Product Description]])))</f>
        <v>ViewSonic</v>
      </c>
      <c r="J35" s="12" t="str">
        <f>TRIM(RIGHT(Table1[[#This Row],[EMAIL ADDRESS]],LEN(Table1[[#This Row],[EMAIL ADDRESS]])-FIND("@",Table1[[#This Row],[EMAIL ADDRESS]])))</f>
        <v>gmail.com</v>
      </c>
    </row>
    <row r="36" spans="1:13" x14ac:dyDescent="0.35">
      <c r="A36" s="5" t="s">
        <v>34</v>
      </c>
      <c r="B36" s="5" t="s">
        <v>86</v>
      </c>
      <c r="C36" s="5" t="s">
        <v>137</v>
      </c>
      <c r="D36" s="10">
        <v>34248</v>
      </c>
      <c r="E36" s="9">
        <v>32</v>
      </c>
      <c r="F36" s="14"/>
      <c r="G36" s="12" t="b">
        <f>ISBLANK(Table1[[#This Row],[EMAIL ADDRESS]])</f>
        <v>1</v>
      </c>
      <c r="H36" s="13" t="s">
        <v>212</v>
      </c>
      <c r="I36" s="12" t="str">
        <f>TRIM(RIGHT(Table1[[#This Row],[Product Description]],LEN(Table1[[#This Row],[Product Description]])-FIND("–",Table1[[#This Row],[Product Description]])))</f>
        <v>Logitech</v>
      </c>
      <c r="J36" s="12" t="e">
        <f>TRIM(RIGHT(Table1[[#This Row],[EMAIL ADDRESS]],LEN(Table1[[#This Row],[EMAIL ADDRESS]])-FIND("@",Table1[[#This Row],[EMAIL ADDRESS]])))</f>
        <v>#VALUE!</v>
      </c>
    </row>
    <row r="37" spans="1:13" x14ac:dyDescent="0.35">
      <c r="A37" s="5" t="s">
        <v>35</v>
      </c>
      <c r="B37" s="5" t="s">
        <v>87</v>
      </c>
      <c r="C37" s="5" t="s">
        <v>138</v>
      </c>
      <c r="D37" s="10">
        <v>35051</v>
      </c>
      <c r="E37" s="9">
        <v>30</v>
      </c>
      <c r="F37" s="11" t="s">
        <v>173</v>
      </c>
      <c r="G37" s="12" t="b">
        <f>ISBLANK(Table1[[#This Row],[EMAIL ADDRESS]])</f>
        <v>0</v>
      </c>
      <c r="H37" s="13" t="s">
        <v>213</v>
      </c>
      <c r="I37" s="12" t="str">
        <f>TRIM(RIGHT(Table1[[#This Row],[Product Description]],LEN(Table1[[#This Row],[Product Description]])-FIND("–",Table1[[#This Row],[Product Description]])))</f>
        <v>Razer</v>
      </c>
      <c r="J37" s="12" t="str">
        <f>TRIM(RIGHT(Table1[[#This Row],[EMAIL ADDRESS]],LEN(Table1[[#This Row],[EMAIL ADDRESS]])-FIND("@",Table1[[#This Row],[EMAIL ADDRESS]])))</f>
        <v>yahoo.com</v>
      </c>
    </row>
    <row r="38" spans="1:13" x14ac:dyDescent="0.35">
      <c r="A38" s="5" t="s">
        <v>36</v>
      </c>
      <c r="B38" s="5" t="s">
        <v>88</v>
      </c>
      <c r="C38" s="5" t="s">
        <v>139</v>
      </c>
      <c r="D38" s="10">
        <v>33637</v>
      </c>
      <c r="E38" s="9">
        <v>33</v>
      </c>
      <c r="F38" s="14"/>
      <c r="G38" s="12" t="b">
        <f>ISBLANK(Table1[[#This Row],[EMAIL ADDRESS]])</f>
        <v>1</v>
      </c>
      <c r="H38" s="13" t="s">
        <v>214</v>
      </c>
      <c r="I38" s="12" t="str">
        <f>TRIM(RIGHT(Table1[[#This Row],[Product Description]],LEN(Table1[[#This Row],[Product Description]])-FIND("–",Table1[[#This Row],[Product Description]])))</f>
        <v>GreenSoul</v>
      </c>
      <c r="J38" s="12" t="e">
        <f>TRIM(RIGHT(Table1[[#This Row],[EMAIL ADDRESS]],LEN(Table1[[#This Row],[EMAIL ADDRESS]])-FIND("@",Table1[[#This Row],[EMAIL ADDRESS]])))</f>
        <v>#VALUE!</v>
      </c>
    </row>
    <row r="39" spans="1:13" x14ac:dyDescent="0.35">
      <c r="A39" s="5" t="s">
        <v>37</v>
      </c>
      <c r="B39" s="5" t="s">
        <v>89</v>
      </c>
      <c r="C39" s="5" t="s">
        <v>140</v>
      </c>
      <c r="D39" s="10">
        <v>34598</v>
      </c>
      <c r="E39" s="9">
        <v>31</v>
      </c>
      <c r="F39" s="11" t="s">
        <v>174</v>
      </c>
      <c r="G39" s="12" t="b">
        <f>ISBLANK(Table1[[#This Row],[EMAIL ADDRESS]])</f>
        <v>0</v>
      </c>
      <c r="H39" s="13" t="s">
        <v>215</v>
      </c>
      <c r="I39" s="12" t="str">
        <f>TRIM(RIGHT(Table1[[#This Row],[Product Description]],LEN(Table1[[#This Row],[Product Description]])-FIND("–",Table1[[#This Row],[Product Description]])))</f>
        <v>DaUrban</v>
      </c>
      <c r="J39" s="12" t="str">
        <f>TRIM(RIGHT(Table1[[#This Row],[EMAIL ADDRESS]],LEN(Table1[[#This Row],[EMAIL ADDRESS]])-FIND("@",Table1[[#This Row],[EMAIL ADDRESS]])))</f>
        <v>gmail.com</v>
      </c>
    </row>
    <row r="40" spans="1:13" x14ac:dyDescent="0.35">
      <c r="A40" s="5" t="s">
        <v>38</v>
      </c>
      <c r="B40" s="5" t="s">
        <v>90</v>
      </c>
      <c r="C40" s="5" t="s">
        <v>141</v>
      </c>
      <c r="D40" s="10">
        <v>33429</v>
      </c>
      <c r="E40" s="9">
        <v>34</v>
      </c>
      <c r="F40" s="11" t="s">
        <v>175</v>
      </c>
      <c r="G40" s="12" t="b">
        <f>ISBLANK(Table1[[#This Row],[EMAIL ADDRESS]])</f>
        <v>0</v>
      </c>
      <c r="H40" s="13" t="s">
        <v>216</v>
      </c>
      <c r="I40" s="12" t="str">
        <f>TRIM(RIGHT(Table1[[#This Row],[Product Description]],LEN(Table1[[#This Row],[Product Description]])-FIND("–",Table1[[#This Row],[Product Description]])))</f>
        <v>FlexiSpot</v>
      </c>
      <c r="J40" s="12" t="str">
        <f>TRIM(RIGHT(Table1[[#This Row],[EMAIL ADDRESS]],LEN(Table1[[#This Row],[EMAIL ADDRESS]])-FIND("@",Table1[[#This Row],[EMAIL ADDRESS]])))</f>
        <v>outlook.com</v>
      </c>
    </row>
    <row r="41" spans="1:13" x14ac:dyDescent="0.35">
      <c r="A41" s="5" t="s">
        <v>39</v>
      </c>
      <c r="B41" s="5" t="s">
        <v>91</v>
      </c>
      <c r="C41" s="5" t="s">
        <v>142</v>
      </c>
      <c r="D41" s="10">
        <v>35221</v>
      </c>
      <c r="E41" s="9">
        <v>29</v>
      </c>
      <c r="F41" s="14"/>
      <c r="G41" s="12" t="b">
        <f>ISBLANK(Table1[[#This Row],[EMAIL ADDRESS]])</f>
        <v>1</v>
      </c>
      <c r="H41" s="13" t="s">
        <v>217</v>
      </c>
      <c r="I41" s="12" t="str">
        <f>TRIM(RIGHT(Table1[[#This Row],[Product Description]],LEN(Table1[[#This Row],[Product Description]])-FIND("–",Table1[[#This Row],[Product Description]])))</f>
        <v>Ikea</v>
      </c>
      <c r="J41" s="12" t="e">
        <f>TRIM(RIGHT(Table1[[#This Row],[EMAIL ADDRESS]],LEN(Table1[[#This Row],[EMAIL ADDRESS]])-FIND("@",Table1[[#This Row],[EMAIL ADDRESS]])))</f>
        <v>#VALUE!</v>
      </c>
    </row>
    <row r="42" spans="1:13" x14ac:dyDescent="0.35">
      <c r="A42" s="5" t="s">
        <v>40</v>
      </c>
      <c r="B42" s="5" t="s">
        <v>92</v>
      </c>
      <c r="C42" s="5" t="s">
        <v>143</v>
      </c>
      <c r="D42" s="10">
        <v>34727</v>
      </c>
      <c r="E42" s="9">
        <v>30</v>
      </c>
      <c r="F42" s="11" t="s">
        <v>176</v>
      </c>
      <c r="G42" s="12" t="b">
        <f>ISBLANK(Table1[[#This Row],[EMAIL ADDRESS]])</f>
        <v>0</v>
      </c>
      <c r="H42" s="13" t="s">
        <v>218</v>
      </c>
      <c r="I42" s="12" t="str">
        <f>TRIM(RIGHT(Table1[[#This Row],[Product Description]],LEN(Table1[[#This Row],[Product Description]])-FIND("–",Table1[[#This Row],[Product Description]])))</f>
        <v>Canon</v>
      </c>
      <c r="J42" s="12" t="str">
        <f>TRIM(RIGHT(Table1[[#This Row],[EMAIL ADDRESS]],LEN(Table1[[#This Row],[EMAIL ADDRESS]])-FIND("@",Table1[[#This Row],[EMAIL ADDRESS]])))</f>
        <v>gmail.com</v>
      </c>
    </row>
    <row r="43" spans="1:13" x14ac:dyDescent="0.35">
      <c r="A43" s="5" t="s">
        <v>41</v>
      </c>
      <c r="B43" s="5" t="s">
        <v>93</v>
      </c>
      <c r="C43" s="5" t="s">
        <v>144</v>
      </c>
      <c r="D43" s="10">
        <v>33922</v>
      </c>
      <c r="E43" s="9">
        <v>33</v>
      </c>
      <c r="F43" s="14"/>
      <c r="G43" s="12" t="b">
        <f>ISBLANK(Table1[[#This Row],[EMAIL ADDRESS]])</f>
        <v>1</v>
      </c>
      <c r="H43" s="13" t="s">
        <v>219</v>
      </c>
      <c r="I43" s="12" t="str">
        <f>TRIM(RIGHT(Table1[[#This Row],[Product Description]],LEN(Table1[[#This Row],[Product Description]])-FIND("–",Table1[[#This Row],[Product Description]])))</f>
        <v>HP</v>
      </c>
      <c r="J43" s="12" t="e">
        <f>TRIM(RIGHT(Table1[[#This Row],[EMAIL ADDRESS]],LEN(Table1[[#This Row],[EMAIL ADDRESS]])-FIND("@",Table1[[#This Row],[EMAIL ADDRESS]])))</f>
        <v>#VALUE!</v>
      </c>
    </row>
    <row r="44" spans="1:13" x14ac:dyDescent="0.35">
      <c r="A44" s="5" t="s">
        <v>42</v>
      </c>
      <c r="B44" s="5" t="s">
        <v>94</v>
      </c>
      <c r="C44" s="5" t="s">
        <v>145</v>
      </c>
      <c r="D44" s="10">
        <v>34067</v>
      </c>
      <c r="E44" s="9">
        <v>32</v>
      </c>
      <c r="F44" s="11" t="s">
        <v>177</v>
      </c>
      <c r="G44" s="12" t="b">
        <f>ISBLANK(Table1[[#This Row],[EMAIL ADDRESS]])</f>
        <v>0</v>
      </c>
      <c r="H44" s="13" t="s">
        <v>220</v>
      </c>
      <c r="I44" s="12" t="str">
        <f>TRIM(RIGHT(Table1[[#This Row],[Product Description]],LEN(Table1[[#This Row],[Product Description]])-FIND("–",Table1[[#This Row],[Product Description]])))</f>
        <v>Epson</v>
      </c>
      <c r="J44" s="12" t="str">
        <f>TRIM(RIGHT(Table1[[#This Row],[EMAIL ADDRESS]],LEN(Table1[[#This Row],[EMAIL ADDRESS]])-FIND("@",Table1[[#This Row],[EMAIL ADDRESS]])))</f>
        <v>live.com</v>
      </c>
      <c r="L44" s="9" t="s">
        <v>260</v>
      </c>
      <c r="M44" s="9" t="s">
        <v>261</v>
      </c>
    </row>
    <row r="45" spans="1:13" x14ac:dyDescent="0.35">
      <c r="A45" s="5" t="s">
        <v>43</v>
      </c>
      <c r="B45" s="5" t="s">
        <v>95</v>
      </c>
      <c r="C45" s="5" t="s">
        <v>146</v>
      </c>
      <c r="D45" s="10">
        <v>34391</v>
      </c>
      <c r="E45" s="9">
        <v>31</v>
      </c>
      <c r="F45" s="14"/>
      <c r="G45" s="12" t="b">
        <f>ISBLANK(Table1[[#This Row],[EMAIL ADDRESS]])</f>
        <v>1</v>
      </c>
      <c r="H45" s="13" t="s">
        <v>229</v>
      </c>
      <c r="I45" s="12" t="e">
        <f>TRIM(RIGHT(Table1[[#This Row],[Product Description]],LEN(Table1[[#This Row],[Product Description]])-FIND("–",Table1[[#This Row],[Product Description]])))</f>
        <v>#VALUE!</v>
      </c>
      <c r="J45" s="12" t="e">
        <f>TRIM(RIGHT(Table1[[#This Row],[EMAIL ADDRESS]],LEN(Table1[[#This Row],[EMAIL ADDRESS]])-FIND("@",Table1[[#This Row],[EMAIL ADDRESS]])))</f>
        <v>#VALUE!</v>
      </c>
      <c r="L45" s="7" t="s">
        <v>45</v>
      </c>
      <c r="M45" s="9" t="str">
        <f>INDEX(Table1[Product Name],MATCH(Table5[[#This Row],[Value]],Table1[Sales ID],0))</f>
        <v>Graphics Tablet Pro</v>
      </c>
    </row>
    <row r="46" spans="1:13" x14ac:dyDescent="0.35">
      <c r="A46" s="5" t="s">
        <v>44</v>
      </c>
      <c r="B46" s="5" t="s">
        <v>96</v>
      </c>
      <c r="C46" s="5" t="s">
        <v>147</v>
      </c>
      <c r="D46" s="10">
        <v>35414</v>
      </c>
      <c r="E46" s="9">
        <v>29</v>
      </c>
      <c r="F46" s="11" t="s">
        <v>178</v>
      </c>
      <c r="G46" s="12" t="b">
        <f>ISBLANK(Table1[[#This Row],[EMAIL ADDRESS]])</f>
        <v>0</v>
      </c>
      <c r="H46" s="13" t="s">
        <v>221</v>
      </c>
      <c r="I46" s="12" t="str">
        <f>TRIM(RIGHT(Table1[[#This Row],[Product Description]],LEN(Table1[[#This Row],[Product Description]])-FIND("–",Table1[[#This Row],[Product Description]])))</f>
        <v>Wacom</v>
      </c>
      <c r="J46" s="12" t="str">
        <f>TRIM(RIGHT(Table1[[#This Row],[EMAIL ADDRESS]],LEN(Table1[[#This Row],[EMAIL ADDRESS]])-FIND("@",Table1[[#This Row],[EMAIL ADDRESS]])))</f>
        <v>gmail.com</v>
      </c>
      <c r="L46" s="8" t="s">
        <v>46</v>
      </c>
      <c r="M46" s="9" t="str">
        <f>INDEX(Table1[Product Name],MATCH(Table5[[#This Row],[Value]],Table1[Sales ID],0))</f>
        <v>Portable Power Bank 10,000mAh</v>
      </c>
    </row>
    <row r="47" spans="1:13" x14ac:dyDescent="0.35">
      <c r="A47" s="5" t="s">
        <v>45</v>
      </c>
      <c r="B47" s="5" t="s">
        <v>97</v>
      </c>
      <c r="C47" s="5" t="s">
        <v>148</v>
      </c>
      <c r="D47" s="10">
        <v>33472</v>
      </c>
      <c r="E47" s="9">
        <v>34</v>
      </c>
      <c r="F47" s="14"/>
      <c r="G47" s="12" t="b">
        <f>ISBLANK(Table1[[#This Row],[EMAIL ADDRESS]])</f>
        <v>1</v>
      </c>
      <c r="H47" s="13" t="s">
        <v>222</v>
      </c>
      <c r="I47" s="12" t="str">
        <f>TRIM(RIGHT(Table1[[#This Row],[Product Description]],LEN(Table1[[#This Row],[Product Description]])-FIND("–",Table1[[#This Row],[Product Description]])))</f>
        <v>Huion</v>
      </c>
      <c r="J47" s="12" t="e">
        <f>TRIM(RIGHT(Table1[[#This Row],[EMAIL ADDRESS]],LEN(Table1[[#This Row],[EMAIL ADDRESS]])-FIND("@",Table1[[#This Row],[EMAIL ADDRESS]])))</f>
        <v>#VALUE!</v>
      </c>
      <c r="L47" s="7" t="s">
        <v>47</v>
      </c>
      <c r="M47" s="9" t="str">
        <f>INDEX(Table1[Product Name],MATCH(Table5[[#This Row],[Value]],Table1[Sales ID],0))</f>
        <v>Portable Power Bank 20,000mAh</v>
      </c>
    </row>
    <row r="48" spans="1:13" x14ac:dyDescent="0.35">
      <c r="A48" s="5" t="s">
        <v>46</v>
      </c>
      <c r="B48" s="5" t="s">
        <v>98</v>
      </c>
      <c r="C48" s="5" t="s">
        <v>149</v>
      </c>
      <c r="D48" s="10">
        <v>34760</v>
      </c>
      <c r="E48" s="9">
        <v>30</v>
      </c>
      <c r="F48" s="11" t="s">
        <v>179</v>
      </c>
      <c r="G48" s="12" t="b">
        <f>ISBLANK(Table1[[#This Row],[EMAIL ADDRESS]])</f>
        <v>0</v>
      </c>
      <c r="H48" s="13" t="s">
        <v>223</v>
      </c>
      <c r="I48" s="12" t="str">
        <f>TRIM(RIGHT(Table1[[#This Row],[Product Description]],LEN(Table1[[#This Row],[Product Description]])-FIND("–",Table1[[#This Row],[Product Description]])))</f>
        <v>Mi</v>
      </c>
      <c r="J48" s="12" t="str">
        <f>TRIM(RIGHT(Table1[[#This Row],[EMAIL ADDRESS]],LEN(Table1[[#This Row],[EMAIL ADDRESS]])-FIND("@",Table1[[#This Row],[EMAIL ADDRESS]])))</f>
        <v>yahoo.com</v>
      </c>
      <c r="L48" s="7" t="s">
        <v>31</v>
      </c>
      <c r="M48" s="9" t="str">
        <f>INDEX(Table1[Product Name],MATCH(Table5[[#This Row],[Value]],Table1[Sales ID],0))</f>
        <v>Wireless Router AX1800</v>
      </c>
    </row>
    <row r="49" spans="1:13" x14ac:dyDescent="0.35">
      <c r="A49" s="5" t="s">
        <v>47</v>
      </c>
      <c r="B49" s="5" t="s">
        <v>99</v>
      </c>
      <c r="C49" s="5" t="s">
        <v>150</v>
      </c>
      <c r="D49" s="10">
        <v>34219</v>
      </c>
      <c r="E49" s="9">
        <v>32</v>
      </c>
      <c r="F49" s="14"/>
      <c r="G49" s="12" t="b">
        <f>ISBLANK(Table1[[#This Row],[EMAIL ADDRESS]])</f>
        <v>1</v>
      </c>
      <c r="H49" s="13" t="s">
        <v>224</v>
      </c>
      <c r="I49" s="12" t="str">
        <f>TRIM(RIGHT(Table1[[#This Row],[Product Description]],LEN(Table1[[#This Row],[Product Description]])-FIND("–",Table1[[#This Row],[Product Description]])))</f>
        <v>Realme</v>
      </c>
      <c r="J49" s="12" t="e">
        <f>TRIM(RIGHT(Table1[[#This Row],[EMAIL ADDRESS]],LEN(Table1[[#This Row],[EMAIL ADDRESS]])-FIND("@",Table1[[#This Row],[EMAIL ADDRESS]])))</f>
        <v>#VALUE!</v>
      </c>
      <c r="L49" s="8" t="s">
        <v>32</v>
      </c>
      <c r="M49" s="9" t="str">
        <f>INDEX(Table1[Product Name],MATCH(Table5[[#This Row],[Value]],Table1[Sales ID],0))</f>
        <v>Noise Cancelling Earbuds</v>
      </c>
    </row>
    <row r="50" spans="1:13" x14ac:dyDescent="0.35">
      <c r="A50" s="5" t="s">
        <v>48</v>
      </c>
      <c r="B50" s="5" t="s">
        <v>100</v>
      </c>
      <c r="C50" s="5" t="s">
        <v>151</v>
      </c>
      <c r="D50" s="10">
        <v>35388</v>
      </c>
      <c r="E50" s="9">
        <v>29</v>
      </c>
      <c r="F50" s="11" t="s">
        <v>180</v>
      </c>
      <c r="G50" s="12" t="b">
        <f>ISBLANK(Table1[[#This Row],[EMAIL ADDRESS]])</f>
        <v>0</v>
      </c>
      <c r="H50" s="13" t="s">
        <v>225</v>
      </c>
      <c r="I50" s="12" t="str">
        <f>TRIM(RIGHT(Table1[[#This Row],[Product Description]],LEN(Table1[[#This Row],[Product Description]])-FIND("–",Table1[[#This Row],[Product Description]])))</f>
        <v>Belkin</v>
      </c>
      <c r="J50" s="12" t="str">
        <f>TRIM(RIGHT(Table1[[#This Row],[EMAIL ADDRESS]],LEN(Table1[[#This Row],[EMAIL ADDRESS]])-FIND("@",Table1[[#This Row],[EMAIL ADDRESS]])))</f>
        <v>gmail.com</v>
      </c>
      <c r="L50" s="7" t="s">
        <v>33</v>
      </c>
      <c r="M50" s="9" t="str">
        <f>INDEX(Table1[Product Name],MATCH(Table5[[#This Row],[Value]],Table1[Sales ID],0))</f>
        <v>Portable Projector Mini</v>
      </c>
    </row>
    <row r="51" spans="1:13" x14ac:dyDescent="0.35">
      <c r="A51" s="5" t="s">
        <v>49</v>
      </c>
      <c r="B51" s="5" t="s">
        <v>101</v>
      </c>
      <c r="C51" s="5" t="s">
        <v>152</v>
      </c>
      <c r="D51" s="10">
        <v>33728</v>
      </c>
      <c r="E51" s="9">
        <v>33</v>
      </c>
      <c r="F51" s="14"/>
      <c r="G51" s="12" t="b">
        <f>ISBLANK(Table1[[#This Row],[EMAIL ADDRESS]])</f>
        <v>1</v>
      </c>
      <c r="H51" s="13" t="s">
        <v>226</v>
      </c>
      <c r="I51" s="12" t="str">
        <f>TRIM(RIGHT(Table1[[#This Row],[Product Description]],LEN(Table1[[#This Row],[Product Description]])-FIND("–",Table1[[#This Row],[Product Description]])))</f>
        <v>Philips</v>
      </c>
      <c r="J51" s="12" t="e">
        <f>TRIM(RIGHT(Table1[[#This Row],[EMAIL ADDRESS]],LEN(Table1[[#This Row],[EMAIL ADDRESS]])-FIND("@",Table1[[#This Row],[EMAIL ADDRESS]])))</f>
        <v>#VALUE!</v>
      </c>
    </row>
  </sheetData>
  <hyperlinks>
    <hyperlink ref="F2" r:id="rId1" display="mailto:arjun.mehta@gmail.com" xr:uid="{3FCA4EB4-9A35-4EC9-BC0D-F44DBB5F72ED}"/>
    <hyperlink ref="F4" r:id="rId2" display="mailto:sagar.deshmukh@outlook.com" xr:uid="{AF50DBB1-231E-415D-956D-10DDA240FA0C}"/>
    <hyperlink ref="F6" r:id="rId3" display="mailto:pooja.sharma@yahoo.com" xr:uid="{48D00AA5-3AE7-4AA4-86A0-B6E5169805D6}"/>
    <hyperlink ref="F8" r:id="rId4" display="mailto:swati.nair@gmail.com" xr:uid="{68100D84-D70B-45F0-AFDC-CFD4B0CA63BB}"/>
    <hyperlink ref="F9" r:id="rId5" display="mailto:varun.c@outlook.com" xr:uid="{DF40C1F9-7EF9-41F0-9A8A-BF5D9310F7DA}"/>
    <hyperlink ref="F11" r:id="rId6" display="mailto:sanjay.bhatt@gmail.com" xr:uid="{F0A54CFF-A654-4250-9403-678176C35826}"/>
    <hyperlink ref="F13" r:id="rId7" display="mailto:dev.malhotra@live.com" xr:uid="{3C64F85B-7B72-4DAF-9FFA-610A7798BEEB}"/>
    <hyperlink ref="F14" r:id="rId8" display="mailto:shruti.verma@gmail.com" xr:uid="{E38BCFBD-1FBF-432A-8040-0CFE7AE7EA37}"/>
    <hyperlink ref="F16" r:id="rId9" display="mailto:aditi.menon@outlook.com" xr:uid="{F572280E-936B-4C7A-AAD2-56F77A444631}"/>
    <hyperlink ref="F18" r:id="rId10" display="mailto:kavya.shetty@gmail.com" xr:uid="{5A8CF89C-C224-40E4-95E6-9BC530DEA7D2}"/>
    <hyperlink ref="F20" r:id="rId11" display="mailto:rhea.joseph@yahoo.com" xr:uid="{EBA68E13-62CD-4D4B-B604-F1984682D133}"/>
    <hyperlink ref="F21" r:id="rId12" display="mailto:pranav.bhatia@gmail.com" xr:uid="{52483E50-3909-401B-9B22-4E0BAB10E747}"/>
    <hyperlink ref="F23" r:id="rId13" display="mailto:keshav.sethi@outlook.com" xr:uid="{187E16D6-4557-4E77-9592-E59CF3F461EC}"/>
    <hyperlink ref="F25" r:id="rId14" display="mailto:harshit.pandey@gmail.com" xr:uid="{1D53FC5B-8518-4AA2-BF67-F3BADD5249F4}"/>
    <hyperlink ref="F27" r:id="rId15" display="mailto:ishaan.sharma@icloud.com" xr:uid="{35D64A33-A714-4041-B529-CBF4C1427B70}"/>
    <hyperlink ref="F29" r:id="rId16" display="mailto:nikhil.bose@gmail.com" xr:uid="{74E83E57-D866-48D7-97A1-26D4F3197425}"/>
    <hyperlink ref="F31" r:id="rId17" display="mailto:aditya.rao@hotmail.com" xr:uid="{E160670E-A236-4E87-A09F-ACBC23E3C0E8}"/>
    <hyperlink ref="F33" r:id="rId18" display="mailto:tejas.khanna@outlook.com" xr:uid="{CAA7C377-D97D-4D11-BA5A-C1372D3EC004}"/>
    <hyperlink ref="F35" r:id="rId19" display="mailto:yashveer.k@gmail.com" xr:uid="{D9C775C2-1ADD-433B-8DA0-E9CFB95A2627}"/>
    <hyperlink ref="F37" r:id="rId20" display="mailto:milan.solanki@yahoo.com" xr:uid="{B693C9DC-5142-4442-B646-4E2DCC633321}"/>
    <hyperlink ref="F39" r:id="rId21" display="mailto:roshni.fernandes@gmail.com" xr:uid="{30B74953-14BE-41CA-A27D-A6DD2B348E5A}"/>
    <hyperlink ref="F40" r:id="rId22" display="mailto:dhruv.bansal@outlook.com" xr:uid="{142458F6-8546-4C03-B22F-2DD3608E7D4D}"/>
    <hyperlink ref="F42" r:id="rId23" display="mailto:zoya.khan@gmail.com" xr:uid="{87000F93-D7B6-46C3-9B7A-CB04614FBEBB}"/>
    <hyperlink ref="F44" r:id="rId24" display="mailto:aradhya.pillai@live.com" xr:uid="{D02BA7EB-F927-4F26-A527-DCB85CCC4147}"/>
    <hyperlink ref="F46" r:id="rId25" display="mailto:simran.oberoi@gmail.com" xr:uid="{E49417C4-11C7-429E-84E1-22C801B8084A}"/>
    <hyperlink ref="F48" r:id="rId26" display="mailto:leena.madan@yahoo.com" xr:uid="{74B1D750-3080-4F01-9179-DB4CC1051988}"/>
    <hyperlink ref="F50" r:id="rId27" display="mailto:natasha.gokhale@gmail.com" xr:uid="{155A453D-E92B-4111-A884-DA622EE099F3}"/>
  </hyperlinks>
  <pageMargins left="0.7" right="0.7" top="0.75" bottom="0.75" header="0.3" footer="0.3"/>
  <pageSetup orientation="portrait" r:id="rId28"/>
  <tableParts count="2">
    <tablePart r:id="rId29"/>
    <tablePart r:id="rId3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EF2E3B-3400-4FB4-8647-471B95BD6C00}">
  <dimension ref="A1:J56"/>
  <sheetViews>
    <sheetView topLeftCell="A19" zoomScale="160" zoomScaleNormal="160" workbookViewId="0">
      <selection activeCell="D2" sqref="D2"/>
    </sheetView>
  </sheetViews>
  <sheetFormatPr defaultRowHeight="14.5" x14ac:dyDescent="0.35"/>
  <cols>
    <col min="1" max="1" width="18.83203125" style="9" bestFit="1" customWidth="1"/>
    <col min="2" max="2" width="19.25" style="9" bestFit="1" customWidth="1"/>
    <col min="3" max="3" width="8.6640625" style="9"/>
    <col min="4" max="4" width="17.08203125" style="9" bestFit="1" customWidth="1"/>
    <col min="5" max="5" width="15.83203125" style="9" bestFit="1" customWidth="1"/>
    <col min="6" max="9" width="8.6640625" style="9"/>
    <col min="10" max="10" width="30.33203125" style="9" customWidth="1"/>
    <col min="11" max="16384" width="8.6640625" style="9"/>
  </cols>
  <sheetData>
    <row r="1" spans="1:10" x14ac:dyDescent="0.35">
      <c r="A1" s="15" t="s">
        <v>230</v>
      </c>
      <c r="B1" s="15" t="s">
        <v>231</v>
      </c>
    </row>
    <row r="2" spans="1:10" x14ac:dyDescent="0.35">
      <c r="A2" s="5" t="s">
        <v>102</v>
      </c>
      <c r="B2" s="6">
        <v>78000</v>
      </c>
    </row>
    <row r="3" spans="1:10" x14ac:dyDescent="0.35">
      <c r="A3" s="5" t="s">
        <v>103</v>
      </c>
      <c r="B3" s="6">
        <v>55000</v>
      </c>
    </row>
    <row r="4" spans="1:10" x14ac:dyDescent="0.35">
      <c r="A4" s="5" t="s">
        <v>104</v>
      </c>
      <c r="B4" s="6">
        <v>92000</v>
      </c>
    </row>
    <row r="5" spans="1:10" x14ac:dyDescent="0.35">
      <c r="A5" s="5" t="s">
        <v>105</v>
      </c>
      <c r="B5" s="6">
        <v>48000</v>
      </c>
    </row>
    <row r="6" spans="1:10" x14ac:dyDescent="0.35">
      <c r="A6" s="5" t="s">
        <v>106</v>
      </c>
      <c r="B6" s="6">
        <v>66000</v>
      </c>
      <c r="D6" s="15"/>
      <c r="E6" s="15"/>
      <c r="I6" s="15"/>
      <c r="J6" s="15"/>
    </row>
    <row r="7" spans="1:10" x14ac:dyDescent="0.35">
      <c r="A7" s="5" t="s">
        <v>107</v>
      </c>
      <c r="B7" s="6">
        <v>73000</v>
      </c>
      <c r="D7" s="5"/>
      <c r="E7" s="5"/>
      <c r="I7" s="5"/>
      <c r="J7" s="13"/>
    </row>
    <row r="8" spans="1:10" x14ac:dyDescent="0.35">
      <c r="A8" s="5" t="s">
        <v>108</v>
      </c>
      <c r="B8" s="5" t="s">
        <v>232</v>
      </c>
      <c r="D8" s="5"/>
      <c r="E8" s="5"/>
      <c r="I8" s="5"/>
      <c r="J8" s="13"/>
    </row>
    <row r="9" spans="1:10" x14ac:dyDescent="0.35">
      <c r="A9" s="5" t="s">
        <v>109</v>
      </c>
      <c r="B9" s="6">
        <v>89000</v>
      </c>
      <c r="D9" s="5" t="s">
        <v>235</v>
      </c>
      <c r="E9" s="5" t="s">
        <v>236</v>
      </c>
      <c r="I9" s="5"/>
      <c r="J9" s="13"/>
    </row>
    <row r="10" spans="1:10" x14ac:dyDescent="0.35">
      <c r="A10" s="5" t="s">
        <v>110</v>
      </c>
      <c r="B10" s="6">
        <v>51000</v>
      </c>
      <c r="D10" s="8" t="s">
        <v>110</v>
      </c>
      <c r="E10" s="5">
        <f>INDEX(Table2[Salary (₹/month)],MATCH(Table3[[#This Row],[value]],Table2[Employee Name],0))</f>
        <v>51000</v>
      </c>
      <c r="I10" s="5"/>
      <c r="J10" s="13"/>
    </row>
    <row r="11" spans="1:10" x14ac:dyDescent="0.35">
      <c r="A11" s="5" t="s">
        <v>111</v>
      </c>
      <c r="B11" s="6">
        <v>70000</v>
      </c>
      <c r="D11" s="7" t="s">
        <v>111</v>
      </c>
      <c r="E11" s="5">
        <f>INDEX(Table2[Salary (₹/month)],MATCH(Table3[[#This Row],[value]],Table2[Employee Name],0))</f>
        <v>70000</v>
      </c>
      <c r="I11" s="5"/>
      <c r="J11" s="13"/>
    </row>
    <row r="12" spans="1:10" x14ac:dyDescent="0.35">
      <c r="A12" s="5" t="s">
        <v>112</v>
      </c>
      <c r="B12" s="5" t="s">
        <v>232</v>
      </c>
      <c r="D12" s="8" t="s">
        <v>112</v>
      </c>
      <c r="E12" s="5" t="str">
        <f>INDEX(Table2[Salary (₹/month)],MATCH(Table3[[#This Row],[value]],Table2[Employee Name],0))</f>
        <v>0 (blank salary)</v>
      </c>
      <c r="I12" s="5"/>
      <c r="J12" s="13"/>
    </row>
    <row r="13" spans="1:10" x14ac:dyDescent="0.35">
      <c r="A13" s="5" t="s">
        <v>113</v>
      </c>
      <c r="B13" s="6">
        <v>84000</v>
      </c>
      <c r="D13" s="7" t="s">
        <v>113</v>
      </c>
      <c r="E13" s="5">
        <f>INDEX(Table2[Salary (₹/month)],MATCH(Table3[[#This Row],[value]],Table2[Employee Name],0))</f>
        <v>84000</v>
      </c>
      <c r="I13" s="5"/>
      <c r="J13" s="13"/>
    </row>
    <row r="14" spans="1:10" x14ac:dyDescent="0.35">
      <c r="A14" s="5" t="s">
        <v>114</v>
      </c>
      <c r="B14" s="6">
        <v>45000</v>
      </c>
      <c r="D14" s="8" t="s">
        <v>114</v>
      </c>
      <c r="E14" s="5">
        <f>INDEX(Table2[Salary (₹/month)],MATCH(Table3[[#This Row],[value]],Table2[Employee Name],0))</f>
        <v>45000</v>
      </c>
      <c r="I14" s="5"/>
      <c r="J14" s="13"/>
    </row>
    <row r="15" spans="1:10" x14ac:dyDescent="0.35">
      <c r="A15" s="5" t="s">
        <v>115</v>
      </c>
      <c r="B15" s="6">
        <v>95000</v>
      </c>
      <c r="D15" s="5"/>
      <c r="E15" s="5"/>
      <c r="I15" s="5"/>
      <c r="J15" s="13"/>
    </row>
    <row r="16" spans="1:10" x14ac:dyDescent="0.35">
      <c r="A16" s="5" t="s">
        <v>116</v>
      </c>
      <c r="B16" s="6">
        <v>62000</v>
      </c>
      <c r="D16" s="5"/>
      <c r="E16" s="5"/>
      <c r="I16" s="5"/>
      <c r="J16" s="13"/>
    </row>
    <row r="17" spans="1:10" x14ac:dyDescent="0.35">
      <c r="A17" s="5" t="s">
        <v>117</v>
      </c>
      <c r="B17" s="6">
        <v>58000</v>
      </c>
      <c r="D17" s="5"/>
      <c r="E17" s="5"/>
      <c r="I17" s="5"/>
      <c r="J17" s="13"/>
    </row>
    <row r="18" spans="1:10" x14ac:dyDescent="0.35">
      <c r="A18" s="5" t="s">
        <v>119</v>
      </c>
      <c r="B18" s="6">
        <v>81000</v>
      </c>
      <c r="D18" s="5"/>
      <c r="E18" s="5"/>
      <c r="I18" s="5"/>
      <c r="J18" s="13"/>
    </row>
    <row r="19" spans="1:10" x14ac:dyDescent="0.35">
      <c r="A19" s="5" t="s">
        <v>120</v>
      </c>
      <c r="B19" s="6">
        <v>77000</v>
      </c>
      <c r="D19" s="5"/>
      <c r="E19" s="5"/>
      <c r="I19" s="5"/>
      <c r="J19" s="13"/>
    </row>
    <row r="20" spans="1:10" x14ac:dyDescent="0.35">
      <c r="A20" s="5" t="s">
        <v>121</v>
      </c>
      <c r="B20" s="6">
        <v>54000</v>
      </c>
      <c r="D20" s="5"/>
      <c r="E20" s="5"/>
      <c r="I20" s="5"/>
      <c r="J20" s="13"/>
    </row>
    <row r="21" spans="1:10" x14ac:dyDescent="0.35">
      <c r="A21" s="5" t="s">
        <v>122</v>
      </c>
      <c r="B21" s="6">
        <v>69000</v>
      </c>
      <c r="D21" s="5"/>
      <c r="E21" s="5"/>
      <c r="I21" s="5"/>
      <c r="J21" s="13"/>
    </row>
    <row r="22" spans="1:10" x14ac:dyDescent="0.35">
      <c r="A22" s="5" t="s">
        <v>123</v>
      </c>
      <c r="B22" s="6">
        <v>46000</v>
      </c>
      <c r="D22" s="5"/>
      <c r="E22" s="5"/>
      <c r="I22" s="5"/>
      <c r="J22" s="13"/>
    </row>
    <row r="23" spans="1:10" x14ac:dyDescent="0.35">
      <c r="A23" s="5" t="s">
        <v>124</v>
      </c>
      <c r="B23" s="6">
        <v>88000</v>
      </c>
      <c r="D23" s="5"/>
      <c r="E23" s="5"/>
      <c r="I23" s="5"/>
      <c r="J23" s="13"/>
    </row>
    <row r="24" spans="1:10" x14ac:dyDescent="0.35">
      <c r="A24" s="5" t="s">
        <v>125</v>
      </c>
      <c r="B24" s="6">
        <v>72000</v>
      </c>
      <c r="D24" s="5"/>
      <c r="E24" s="5"/>
      <c r="I24" s="5"/>
      <c r="J24" s="13"/>
    </row>
    <row r="25" spans="1:10" x14ac:dyDescent="0.35">
      <c r="A25" s="5" t="s">
        <v>126</v>
      </c>
      <c r="B25" s="6">
        <v>52000</v>
      </c>
      <c r="I25" s="5"/>
      <c r="J25" s="13"/>
    </row>
    <row r="26" spans="1:10" x14ac:dyDescent="0.35">
      <c r="A26" s="5" t="s">
        <v>127</v>
      </c>
      <c r="B26" s="6">
        <v>57000</v>
      </c>
      <c r="I26" s="5"/>
      <c r="J26" s="13"/>
    </row>
    <row r="27" spans="1:10" x14ac:dyDescent="0.35">
      <c r="A27" s="5" t="s">
        <v>128</v>
      </c>
      <c r="B27" s="6">
        <v>99000</v>
      </c>
      <c r="I27" s="5"/>
      <c r="J27" s="13"/>
    </row>
    <row r="28" spans="1:10" x14ac:dyDescent="0.35">
      <c r="A28" s="5" t="s">
        <v>129</v>
      </c>
      <c r="B28" s="6">
        <v>44000</v>
      </c>
      <c r="I28" s="5"/>
      <c r="J28" s="13"/>
    </row>
    <row r="29" spans="1:10" x14ac:dyDescent="0.35">
      <c r="A29" s="5" t="s">
        <v>130</v>
      </c>
      <c r="B29" s="6">
        <v>83000</v>
      </c>
      <c r="I29" s="5"/>
      <c r="J29" s="13"/>
    </row>
    <row r="30" spans="1:10" x14ac:dyDescent="0.35">
      <c r="A30" s="5" t="s">
        <v>131</v>
      </c>
      <c r="B30" s="6">
        <v>61000</v>
      </c>
      <c r="I30" s="5"/>
      <c r="J30" s="13"/>
    </row>
    <row r="31" spans="1:10" x14ac:dyDescent="0.35">
      <c r="A31" s="5" t="s">
        <v>132</v>
      </c>
      <c r="B31" s="6">
        <v>97000</v>
      </c>
      <c r="I31" s="5"/>
      <c r="J31" s="13"/>
    </row>
    <row r="32" spans="1:10" x14ac:dyDescent="0.35">
      <c r="A32" s="5" t="s">
        <v>133</v>
      </c>
      <c r="B32" s="6">
        <v>49000</v>
      </c>
      <c r="I32" s="5"/>
      <c r="J32" s="13"/>
    </row>
    <row r="33" spans="1:10" x14ac:dyDescent="0.35">
      <c r="A33" s="5" t="s">
        <v>134</v>
      </c>
      <c r="B33" s="6">
        <v>79000</v>
      </c>
      <c r="I33" s="5"/>
      <c r="J33" s="13"/>
    </row>
    <row r="34" spans="1:10" x14ac:dyDescent="0.35">
      <c r="A34" s="5" t="s">
        <v>135</v>
      </c>
      <c r="B34" s="6">
        <v>63000</v>
      </c>
      <c r="I34" s="5"/>
      <c r="J34" s="13"/>
    </row>
    <row r="35" spans="1:10" x14ac:dyDescent="0.35">
      <c r="A35" s="5" t="s">
        <v>136</v>
      </c>
      <c r="B35" s="6">
        <v>53000</v>
      </c>
      <c r="I35" s="5"/>
      <c r="J35" s="13"/>
    </row>
    <row r="36" spans="1:10" x14ac:dyDescent="0.35">
      <c r="A36" s="5" t="s">
        <v>137</v>
      </c>
      <c r="B36" s="6">
        <v>56000</v>
      </c>
      <c r="I36" s="5"/>
      <c r="J36" s="13"/>
    </row>
    <row r="37" spans="1:10" x14ac:dyDescent="0.35">
      <c r="A37" s="5" t="s">
        <v>138</v>
      </c>
      <c r="B37" s="6">
        <v>74000</v>
      </c>
      <c r="I37" s="5"/>
      <c r="J37" s="13"/>
    </row>
    <row r="38" spans="1:10" x14ac:dyDescent="0.35">
      <c r="A38" s="5" t="s">
        <v>139</v>
      </c>
      <c r="B38" s="6">
        <v>40000</v>
      </c>
      <c r="I38" s="5"/>
      <c r="J38" s="13"/>
    </row>
    <row r="39" spans="1:10" x14ac:dyDescent="0.35">
      <c r="A39" s="5" t="s">
        <v>140</v>
      </c>
      <c r="B39" s="6">
        <v>68000</v>
      </c>
      <c r="I39" s="5"/>
      <c r="J39" s="13"/>
    </row>
    <row r="40" spans="1:10" x14ac:dyDescent="0.35">
      <c r="A40" s="5" t="s">
        <v>141</v>
      </c>
      <c r="B40" s="6">
        <v>87000</v>
      </c>
      <c r="I40" s="5"/>
      <c r="J40" s="13"/>
    </row>
    <row r="41" spans="1:10" x14ac:dyDescent="0.35">
      <c r="A41" s="5" t="s">
        <v>142</v>
      </c>
      <c r="B41" s="6">
        <v>43000</v>
      </c>
      <c r="I41" s="5"/>
      <c r="J41" s="13"/>
    </row>
    <row r="42" spans="1:10" x14ac:dyDescent="0.35">
      <c r="A42" s="5" t="s">
        <v>143</v>
      </c>
      <c r="B42" s="6">
        <v>75000</v>
      </c>
      <c r="I42" s="5"/>
      <c r="J42" s="13"/>
    </row>
    <row r="43" spans="1:10" x14ac:dyDescent="0.35">
      <c r="A43" s="5" t="s">
        <v>144</v>
      </c>
      <c r="B43" s="6">
        <v>82000</v>
      </c>
      <c r="I43" s="5"/>
      <c r="J43" s="13"/>
    </row>
    <row r="44" spans="1:10" x14ac:dyDescent="0.35">
      <c r="A44" s="5" t="s">
        <v>145</v>
      </c>
      <c r="B44" s="6">
        <v>59000</v>
      </c>
      <c r="I44" s="5"/>
      <c r="J44" s="13"/>
    </row>
    <row r="45" spans="1:10" x14ac:dyDescent="0.35">
      <c r="A45" s="5" t="s">
        <v>146</v>
      </c>
      <c r="B45" s="6">
        <v>65000</v>
      </c>
      <c r="I45" s="5"/>
      <c r="J45" s="13"/>
    </row>
    <row r="46" spans="1:10" x14ac:dyDescent="0.35">
      <c r="A46" s="5" t="s">
        <v>147</v>
      </c>
      <c r="B46" s="6">
        <v>41000</v>
      </c>
      <c r="I46" s="5"/>
      <c r="J46" s="13"/>
    </row>
    <row r="47" spans="1:10" x14ac:dyDescent="0.35">
      <c r="A47" s="5" t="s">
        <v>148</v>
      </c>
      <c r="B47" s="6">
        <v>90000</v>
      </c>
      <c r="I47" s="5"/>
      <c r="J47" s="13"/>
    </row>
    <row r="48" spans="1:10" x14ac:dyDescent="0.35">
      <c r="A48" s="5" t="s">
        <v>149</v>
      </c>
      <c r="B48" s="5" t="s">
        <v>232</v>
      </c>
      <c r="I48" s="5"/>
      <c r="J48" s="13"/>
    </row>
    <row r="49" spans="1:10" x14ac:dyDescent="0.35">
      <c r="A49" s="5" t="s">
        <v>150</v>
      </c>
      <c r="B49" s="6">
        <v>71000</v>
      </c>
      <c r="I49" s="5"/>
      <c r="J49" s="13"/>
    </row>
    <row r="50" spans="1:10" x14ac:dyDescent="0.35">
      <c r="A50" s="5" t="s">
        <v>151</v>
      </c>
      <c r="B50" s="6">
        <v>47000</v>
      </c>
      <c r="I50" s="5"/>
      <c r="J50" s="13"/>
    </row>
    <row r="51" spans="1:10" x14ac:dyDescent="0.35">
      <c r="A51" s="5" t="s">
        <v>152</v>
      </c>
      <c r="B51" s="6">
        <v>85000</v>
      </c>
      <c r="I51" s="5"/>
      <c r="J51" s="13"/>
    </row>
    <row r="52" spans="1:10" x14ac:dyDescent="0.35">
      <c r="I52" s="5"/>
      <c r="J52" s="13"/>
    </row>
    <row r="53" spans="1:10" x14ac:dyDescent="0.35">
      <c r="I53" s="5"/>
      <c r="J53" s="13"/>
    </row>
    <row r="54" spans="1:10" x14ac:dyDescent="0.35">
      <c r="I54" s="5"/>
      <c r="J54" s="13"/>
    </row>
    <row r="55" spans="1:10" x14ac:dyDescent="0.35">
      <c r="I55" s="5"/>
      <c r="J55" s="13"/>
    </row>
    <row r="56" spans="1:10" x14ac:dyDescent="0.35">
      <c r="I56" s="5"/>
      <c r="J56" s="13"/>
    </row>
  </sheetData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D4701-A153-4D54-89D6-57D3AF0426A6}">
  <dimension ref="A1:C21"/>
  <sheetViews>
    <sheetView zoomScale="115" zoomScaleNormal="115" workbookViewId="0">
      <selection activeCell="B14" sqref="B14"/>
    </sheetView>
  </sheetViews>
  <sheetFormatPr defaultRowHeight="14.5" x14ac:dyDescent="0.35"/>
  <cols>
    <col min="1" max="1" width="14.58203125" customWidth="1"/>
    <col min="2" max="2" width="12.6640625" customWidth="1"/>
  </cols>
  <sheetData>
    <row r="1" spans="1:3" x14ac:dyDescent="0.35">
      <c r="A1" s="1" t="s">
        <v>237</v>
      </c>
      <c r="B1" s="1" t="s">
        <v>238</v>
      </c>
      <c r="C1" s="1" t="s">
        <v>259</v>
      </c>
    </row>
    <row r="2" spans="1:3" x14ac:dyDescent="0.35">
      <c r="A2" s="2" t="s">
        <v>239</v>
      </c>
      <c r="B2" s="2">
        <v>92</v>
      </c>
      <c r="C2" s="2" t="str">
        <f>IF(Table4[[#This Row],[Total Marks]]&gt;90,"execellent",IF(Table4[[#This Row],[Total Marks]]&gt;70,"Good",IF(Table4[[#This Row],[Total Marks]]&gt;60,"average","Poor")))</f>
        <v>execellent</v>
      </c>
    </row>
    <row r="3" spans="1:3" x14ac:dyDescent="0.35">
      <c r="A3" s="2" t="s">
        <v>240</v>
      </c>
      <c r="B3" s="2">
        <v>76</v>
      </c>
      <c r="C3" s="2" t="str">
        <f>IF(Table4[[#This Row],[Total Marks]]&gt;90,"execellent",IF(Table4[[#This Row],[Total Marks]]&gt;70,"Good",IF(Table4[[#This Row],[Total Marks]]&gt;60,"average","Poor")))</f>
        <v>Good</v>
      </c>
    </row>
    <row r="4" spans="1:3" x14ac:dyDescent="0.35">
      <c r="A4" s="2" t="s">
        <v>241</v>
      </c>
      <c r="B4" s="2">
        <v>58</v>
      </c>
      <c r="C4" s="2" t="str">
        <f>IF(Table4[[#This Row],[Total Marks]]&gt;90,"execellent",IF(Table4[[#This Row],[Total Marks]]&gt;70,"Good",IF(Table4[[#This Row],[Total Marks]]&gt;60,"average","Poor")))</f>
        <v>Poor</v>
      </c>
    </row>
    <row r="5" spans="1:3" x14ac:dyDescent="0.35">
      <c r="A5" s="2" t="s">
        <v>242</v>
      </c>
      <c r="B5" s="2">
        <v>83</v>
      </c>
      <c r="C5" s="2" t="str">
        <f>IF(Table4[[#This Row],[Total Marks]]&gt;90,"execellent",IF(Table4[[#This Row],[Total Marks]]&gt;70,"Good",IF(Table4[[#This Row],[Total Marks]]&gt;60,"average","Poor")))</f>
        <v>Good</v>
      </c>
    </row>
    <row r="6" spans="1:3" x14ac:dyDescent="0.35">
      <c r="A6" s="2" t="s">
        <v>243</v>
      </c>
      <c r="B6" s="2">
        <v>45</v>
      </c>
      <c r="C6" s="2" t="str">
        <f>IF(Table4[[#This Row],[Total Marks]]&gt;90,"execellent",IF(Table4[[#This Row],[Total Marks]]&gt;70,"Good",IF(Table4[[#This Row],[Total Marks]]&gt;60,"average","Poor")))</f>
        <v>Poor</v>
      </c>
    </row>
    <row r="7" spans="1:3" x14ac:dyDescent="0.35">
      <c r="A7" s="2" t="s">
        <v>244</v>
      </c>
      <c r="B7" s="2">
        <v>67</v>
      </c>
      <c r="C7" s="2" t="str">
        <f>IF(Table4[[#This Row],[Total Marks]]&gt;90,"execellent",IF(Table4[[#This Row],[Total Marks]]&gt;70,"Good",IF(Table4[[#This Row],[Total Marks]]&gt;60,"average","Poor")))</f>
        <v>average</v>
      </c>
    </row>
    <row r="8" spans="1:3" x14ac:dyDescent="0.35">
      <c r="A8" s="2" t="s">
        <v>245</v>
      </c>
      <c r="B8" s="2">
        <v>88</v>
      </c>
      <c r="C8" s="2" t="str">
        <f>IF(Table4[[#This Row],[Total Marks]]&gt;90,"execellent",IF(Table4[[#This Row],[Total Marks]]&gt;70,"Good",IF(Table4[[#This Row],[Total Marks]]&gt;60,"average","Poor")))</f>
        <v>Good</v>
      </c>
    </row>
    <row r="9" spans="1:3" x14ac:dyDescent="0.35">
      <c r="A9" s="2" t="s">
        <v>246</v>
      </c>
      <c r="B9" s="2">
        <v>73</v>
      </c>
      <c r="C9" s="2" t="str">
        <f>IF(Table4[[#This Row],[Total Marks]]&gt;90,"execellent",IF(Table4[[#This Row],[Total Marks]]&gt;70,"Good",IF(Table4[[#This Row],[Total Marks]]&gt;60,"average","Poor")))</f>
        <v>Good</v>
      </c>
    </row>
    <row r="10" spans="1:3" x14ac:dyDescent="0.35">
      <c r="A10" s="2" t="s">
        <v>247</v>
      </c>
      <c r="B10" s="2">
        <v>54</v>
      </c>
      <c r="C10" s="2" t="str">
        <f>IF(Table4[[#This Row],[Total Marks]]&gt;90,"execellent",IF(Table4[[#This Row],[Total Marks]]&gt;70,"Good",IF(Table4[[#This Row],[Total Marks]]&gt;60,"average","Poor")))</f>
        <v>Poor</v>
      </c>
    </row>
    <row r="11" spans="1:3" x14ac:dyDescent="0.35">
      <c r="A11" s="2" t="s">
        <v>248</v>
      </c>
      <c r="B11" s="2">
        <v>39</v>
      </c>
      <c r="C11" s="2" t="str">
        <f>IF(Table4[[#This Row],[Total Marks]]&gt;90,"execellent",IF(Table4[[#This Row],[Total Marks]]&gt;70,"Good",IF(Table4[[#This Row],[Total Marks]]&gt;60,"average","Poor")))</f>
        <v>Poor</v>
      </c>
    </row>
    <row r="12" spans="1:3" ht="29" x14ac:dyDescent="0.35">
      <c r="A12" s="2" t="s">
        <v>249</v>
      </c>
      <c r="B12" s="2">
        <v>80</v>
      </c>
      <c r="C12" s="2" t="str">
        <f>IF(Table4[[#This Row],[Total Marks]]&gt;90,"execellent",IF(Table4[[#This Row],[Total Marks]]&gt;70,"Good",IF(Table4[[#This Row],[Total Marks]]&gt;60,"average","Poor")))</f>
        <v>Good</v>
      </c>
    </row>
    <row r="13" spans="1:3" x14ac:dyDescent="0.35">
      <c r="A13" s="2" t="s">
        <v>250</v>
      </c>
      <c r="B13" s="2">
        <v>61</v>
      </c>
      <c r="C13" s="2" t="str">
        <f>IF(Table4[[#This Row],[Total Marks]]&gt;90,"execellent",IF(Table4[[#This Row],[Total Marks]]&gt;70,"Good",IF(Table4[[#This Row],[Total Marks]]&gt;60,"average","Poor")))</f>
        <v>average</v>
      </c>
    </row>
    <row r="14" spans="1:3" x14ac:dyDescent="0.35">
      <c r="A14" s="2" t="s">
        <v>251</v>
      </c>
      <c r="B14" s="2">
        <v>95</v>
      </c>
      <c r="C14" s="2" t="str">
        <f>IF(Table4[[#This Row],[Total Marks]]&gt;90,"execellent",IF(Table4[[#This Row],[Total Marks]]&gt;70,"Good",IF(Table4[[#This Row],[Total Marks]]&gt;60,"average","Poor")))</f>
        <v>execellent</v>
      </c>
    </row>
    <row r="15" spans="1:3" x14ac:dyDescent="0.35">
      <c r="A15" s="2" t="s">
        <v>252</v>
      </c>
      <c r="B15" s="2">
        <v>49</v>
      </c>
      <c r="C15" s="2" t="str">
        <f>IF(Table4[[#This Row],[Total Marks]]&gt;90,"execellent",IF(Table4[[#This Row],[Total Marks]]&gt;70,"Good",IF(Table4[[#This Row],[Total Marks]]&gt;60,"average","Poor")))</f>
        <v>Poor</v>
      </c>
    </row>
    <row r="16" spans="1:3" x14ac:dyDescent="0.35">
      <c r="A16" s="2" t="s">
        <v>253</v>
      </c>
      <c r="B16" s="2">
        <v>70</v>
      </c>
      <c r="C16" s="2" t="str">
        <f>IF(Table4[[#This Row],[Total Marks]]&gt;90,"execellent",IF(Table4[[#This Row],[Total Marks]]&gt;70,"Good",IF(Table4[[#This Row],[Total Marks]]&gt;60,"average","Poor")))</f>
        <v>average</v>
      </c>
    </row>
    <row r="17" spans="1:3" x14ac:dyDescent="0.35">
      <c r="A17" s="2" t="s">
        <v>254</v>
      </c>
      <c r="B17" s="2">
        <v>82</v>
      </c>
      <c r="C17" s="2" t="str">
        <f>IF(Table4[[#This Row],[Total Marks]]&gt;90,"execellent",IF(Table4[[#This Row],[Total Marks]]&gt;70,"Good",IF(Table4[[#This Row],[Total Marks]]&gt;60,"average","Poor")))</f>
        <v>Good</v>
      </c>
    </row>
    <row r="18" spans="1:3" x14ac:dyDescent="0.35">
      <c r="A18" s="2" t="s">
        <v>255</v>
      </c>
      <c r="B18" s="2">
        <v>56</v>
      </c>
      <c r="C18" s="2" t="str">
        <f>IF(Table4[[#This Row],[Total Marks]]&gt;90,"execellent",IF(Table4[[#This Row],[Total Marks]]&gt;70,"Good",IF(Table4[[#This Row],[Total Marks]]&gt;60,"average","Poor")))</f>
        <v>Poor</v>
      </c>
    </row>
    <row r="19" spans="1:3" x14ac:dyDescent="0.35">
      <c r="A19" s="2" t="s">
        <v>256</v>
      </c>
      <c r="B19" s="2">
        <v>77</v>
      </c>
      <c r="C19" s="2" t="str">
        <f>IF(Table4[[#This Row],[Total Marks]]&gt;90,"execellent",IF(Table4[[#This Row],[Total Marks]]&gt;70,"Good",IF(Table4[[#This Row],[Total Marks]]&gt;60,"average","Poor")))</f>
        <v>Good</v>
      </c>
    </row>
    <row r="20" spans="1:3" x14ac:dyDescent="0.35">
      <c r="A20" s="2" t="s">
        <v>257</v>
      </c>
      <c r="B20" s="2">
        <v>68</v>
      </c>
      <c r="C20" s="2" t="str">
        <f>IF(Table4[[#This Row],[Total Marks]]&gt;90,"execellent",IF(Table4[[#This Row],[Total Marks]]&gt;70,"Good",IF(Table4[[#This Row],[Total Marks]]&gt;60,"average","Poor")))</f>
        <v>average</v>
      </c>
    </row>
    <row r="21" spans="1:3" x14ac:dyDescent="0.35">
      <c r="A21" s="2" t="s">
        <v>258</v>
      </c>
      <c r="B21" s="2">
        <v>87</v>
      </c>
      <c r="C21" s="2" t="str">
        <f>IF(Table4[[#This Row],[Total Marks]]&gt;90,"execellent",IF(Table4[[#This Row],[Total Marks]]&gt;70,"Good",IF(Table4[[#This Row],[Total Marks]]&gt;60,"average","Poor")))</f>
        <v>Good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PRODUCTS</vt:lpstr>
      <vt:lpstr>EMPLOYEES</vt:lpstr>
      <vt:lpstr>STUDENTS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3525</dc:creator>
  <cp:lastModifiedBy>3525</cp:lastModifiedBy>
  <dcterms:created xsi:type="dcterms:W3CDTF">2025-12-10T15:57:20Z</dcterms:created>
  <dcterms:modified xsi:type="dcterms:W3CDTF">2025-12-10T19:04:31Z</dcterms:modified>
</cp:coreProperties>
</file>